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ghengzan/Desktop/Assessment_Business_Analyst_Dekra_062022/"/>
    </mc:Choice>
  </mc:AlternateContent>
  <xr:revisionPtr revIDLastSave="0" documentId="13_ncr:1_{F765C89F-F036-3348-9713-C17A5E50019E}" xr6:coauthVersionLast="47" xr6:coauthVersionMax="47" xr10:uidLastSave="{00000000-0000-0000-0000-000000000000}"/>
  <bookViews>
    <workbookView xWindow="43800" yWindow="-520" windowWidth="34040" windowHeight="19900" xr2:uid="{03D50D84-A17B-4FAE-8674-91D43F532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1" l="1"/>
  <c r="G66" i="1"/>
  <c r="H66" i="1"/>
  <c r="I66" i="1"/>
  <c r="J66" i="1"/>
  <c r="K66" i="1"/>
  <c r="L66" i="1"/>
  <c r="M66" i="1"/>
  <c r="E66" i="1"/>
  <c r="D62" i="1"/>
  <c r="E62" i="1"/>
  <c r="F62" i="1"/>
  <c r="G62" i="1"/>
  <c r="H62" i="1"/>
  <c r="I62" i="1"/>
  <c r="J62" i="1"/>
  <c r="K62" i="1"/>
  <c r="L62" i="1"/>
  <c r="M62" i="1"/>
  <c r="C62" i="1"/>
  <c r="D61" i="1"/>
  <c r="D64" i="1" s="1"/>
  <c r="E61" i="1"/>
  <c r="F61" i="1"/>
  <c r="G61" i="1"/>
  <c r="H61" i="1"/>
  <c r="I61" i="1"/>
  <c r="J61" i="1"/>
  <c r="K61" i="1"/>
  <c r="L61" i="1"/>
  <c r="M61" i="1"/>
  <c r="C61" i="1"/>
  <c r="I64" i="1"/>
  <c r="M64" i="1"/>
  <c r="E64" i="1"/>
  <c r="N56" i="1"/>
  <c r="M56" i="1"/>
  <c r="L56" i="1"/>
  <c r="K56" i="1"/>
  <c r="J56" i="1"/>
  <c r="I56" i="1"/>
  <c r="H56" i="1"/>
  <c r="G56" i="1"/>
  <c r="F56" i="1"/>
  <c r="E56" i="1"/>
  <c r="D56" i="1"/>
  <c r="C56" i="1"/>
  <c r="O55" i="1"/>
  <c r="O54" i="1"/>
  <c r="N53" i="1"/>
  <c r="M53" i="1"/>
  <c r="L53" i="1"/>
  <c r="K53" i="1"/>
  <c r="N50" i="1"/>
  <c r="M50" i="1"/>
  <c r="L50" i="1"/>
  <c r="K50" i="1"/>
  <c r="J50" i="1"/>
  <c r="I50" i="1"/>
  <c r="N47" i="1"/>
  <c r="M47" i="1"/>
  <c r="L47" i="1"/>
  <c r="K47" i="1"/>
  <c r="J47" i="1"/>
  <c r="I47" i="1"/>
  <c r="H47" i="1"/>
  <c r="G47" i="1"/>
  <c r="F47" i="1"/>
  <c r="E47" i="1"/>
  <c r="D47" i="1"/>
  <c r="C47" i="1"/>
  <c r="O46" i="1"/>
  <c r="O45" i="1"/>
  <c r="N44" i="1"/>
  <c r="M44" i="1"/>
  <c r="L44" i="1"/>
  <c r="K44" i="1"/>
  <c r="J44" i="1"/>
  <c r="I44" i="1"/>
  <c r="H44" i="1"/>
  <c r="G44" i="1"/>
  <c r="F44" i="1"/>
  <c r="E44" i="1"/>
  <c r="D44" i="1"/>
  <c r="C44" i="1"/>
  <c r="O43" i="1"/>
  <c r="O42" i="1"/>
  <c r="N41" i="1"/>
  <c r="M41" i="1"/>
  <c r="L41" i="1"/>
  <c r="K41" i="1"/>
  <c r="J41" i="1"/>
  <c r="I41" i="1"/>
  <c r="H41" i="1"/>
  <c r="G41" i="1"/>
  <c r="F41" i="1"/>
  <c r="E41" i="1"/>
  <c r="D41" i="1"/>
  <c r="C41" i="1"/>
  <c r="O40" i="1"/>
  <c r="O39" i="1"/>
  <c r="N38" i="1"/>
  <c r="M38" i="1"/>
  <c r="L38" i="1"/>
  <c r="K38" i="1"/>
  <c r="J38" i="1"/>
  <c r="I38" i="1"/>
  <c r="H38" i="1"/>
  <c r="G38" i="1"/>
  <c r="F38" i="1"/>
  <c r="E38" i="1"/>
  <c r="D38" i="1"/>
  <c r="C38" i="1"/>
  <c r="O37" i="1"/>
  <c r="O36" i="1"/>
  <c r="P38" i="1" s="1"/>
  <c r="N35" i="1"/>
  <c r="M35" i="1"/>
  <c r="L35" i="1"/>
  <c r="K35" i="1"/>
  <c r="J35" i="1"/>
  <c r="I35" i="1"/>
  <c r="H35" i="1"/>
  <c r="G35" i="1"/>
  <c r="F35" i="1"/>
  <c r="E35" i="1"/>
  <c r="D35" i="1"/>
  <c r="C35" i="1"/>
  <c r="O34" i="1"/>
  <c r="O33" i="1"/>
  <c r="N32" i="1"/>
  <c r="M32" i="1"/>
  <c r="L32" i="1"/>
  <c r="K32" i="1"/>
  <c r="J32" i="1"/>
  <c r="I32" i="1"/>
  <c r="H32" i="1"/>
  <c r="G32" i="1"/>
  <c r="F32" i="1"/>
  <c r="E32" i="1"/>
  <c r="D32" i="1"/>
  <c r="C32" i="1"/>
  <c r="O31" i="1"/>
  <c r="O30" i="1"/>
  <c r="N29" i="1"/>
  <c r="M29" i="1"/>
  <c r="L29" i="1"/>
  <c r="K29" i="1"/>
  <c r="J29" i="1"/>
  <c r="I29" i="1"/>
  <c r="H29" i="1"/>
  <c r="G29" i="1"/>
  <c r="F29" i="1"/>
  <c r="E29" i="1"/>
  <c r="D29" i="1"/>
  <c r="C29" i="1"/>
  <c r="O28" i="1"/>
  <c r="O27" i="1"/>
  <c r="N26" i="1"/>
  <c r="M26" i="1"/>
  <c r="L26" i="1"/>
  <c r="K26" i="1"/>
  <c r="J26" i="1"/>
  <c r="I26" i="1"/>
  <c r="H26" i="1"/>
  <c r="G26" i="1"/>
  <c r="F26" i="1"/>
  <c r="E26" i="1"/>
  <c r="D26" i="1"/>
  <c r="C26" i="1"/>
  <c r="O25" i="1"/>
  <c r="O24" i="1"/>
  <c r="N23" i="1"/>
  <c r="M23" i="1"/>
  <c r="L23" i="1"/>
  <c r="K23" i="1"/>
  <c r="J23" i="1"/>
  <c r="I23" i="1"/>
  <c r="H23" i="1"/>
  <c r="G23" i="1"/>
  <c r="F23" i="1"/>
  <c r="E23" i="1"/>
  <c r="D23" i="1"/>
  <c r="C23" i="1"/>
  <c r="O22" i="1"/>
  <c r="O21" i="1"/>
  <c r="N20" i="1"/>
  <c r="M20" i="1"/>
  <c r="L20" i="1"/>
  <c r="K20" i="1"/>
  <c r="J20" i="1"/>
  <c r="I20" i="1"/>
  <c r="H20" i="1"/>
  <c r="G20" i="1"/>
  <c r="F20" i="1"/>
  <c r="E20" i="1"/>
  <c r="D20" i="1"/>
  <c r="C20" i="1"/>
  <c r="O19" i="1"/>
  <c r="O18" i="1"/>
  <c r="P20" i="1" s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O15" i="1"/>
  <c r="N14" i="1"/>
  <c r="M14" i="1"/>
  <c r="L14" i="1"/>
  <c r="K14" i="1"/>
  <c r="J14" i="1"/>
  <c r="I14" i="1"/>
  <c r="H14" i="1"/>
  <c r="G14" i="1"/>
  <c r="F14" i="1"/>
  <c r="E14" i="1"/>
  <c r="D14" i="1"/>
  <c r="C14" i="1"/>
  <c r="O13" i="1"/>
  <c r="O12" i="1"/>
  <c r="N11" i="1"/>
  <c r="M11" i="1"/>
  <c r="L11" i="1"/>
  <c r="K11" i="1"/>
  <c r="J11" i="1"/>
  <c r="I11" i="1"/>
  <c r="H11" i="1"/>
  <c r="G11" i="1"/>
  <c r="F11" i="1"/>
  <c r="E11" i="1"/>
  <c r="D11" i="1"/>
  <c r="C11" i="1"/>
  <c r="O10" i="1"/>
  <c r="O9" i="1"/>
  <c r="P11" i="1" s="1"/>
  <c r="N8" i="1"/>
  <c r="M8" i="1"/>
  <c r="L8" i="1"/>
  <c r="K8" i="1"/>
  <c r="J8" i="1"/>
  <c r="I8" i="1"/>
  <c r="H8" i="1"/>
  <c r="G8" i="1"/>
  <c r="F8" i="1"/>
  <c r="E8" i="1"/>
  <c r="D8" i="1"/>
  <c r="C8" i="1"/>
  <c r="O7" i="1"/>
  <c r="O6" i="1"/>
  <c r="N5" i="1"/>
  <c r="M5" i="1"/>
  <c r="L5" i="1"/>
  <c r="K5" i="1"/>
  <c r="J5" i="1"/>
  <c r="I5" i="1"/>
  <c r="H5" i="1"/>
  <c r="G5" i="1"/>
  <c r="F5" i="1"/>
  <c r="E5" i="1"/>
  <c r="D5" i="1"/>
  <c r="C5" i="1"/>
  <c r="O4" i="1"/>
  <c r="O3" i="1"/>
  <c r="P26" i="1" l="1"/>
  <c r="H64" i="1"/>
  <c r="L64" i="1"/>
  <c r="P44" i="1"/>
  <c r="P56" i="1"/>
  <c r="P32" i="1"/>
  <c r="O20" i="1"/>
  <c r="P5" i="1"/>
  <c r="P23" i="1"/>
  <c r="P8" i="1"/>
  <c r="P17" i="1"/>
  <c r="P14" i="1"/>
  <c r="O26" i="1"/>
  <c r="O8" i="1"/>
  <c r="P29" i="1"/>
  <c r="O62" i="1"/>
  <c r="O35" i="1"/>
  <c r="O41" i="1"/>
  <c r="O56" i="1"/>
  <c r="J63" i="1"/>
  <c r="O14" i="1"/>
  <c r="O32" i="1"/>
  <c r="C64" i="1"/>
  <c r="G65" i="1" s="1"/>
  <c r="G64" i="1"/>
  <c r="K64" i="1"/>
  <c r="O5" i="1"/>
  <c r="O17" i="1"/>
  <c r="O47" i="1"/>
  <c r="F63" i="1"/>
  <c r="O11" i="1"/>
  <c r="O23" i="1"/>
  <c r="O29" i="1"/>
  <c r="P35" i="1"/>
  <c r="O38" i="1"/>
  <c r="P41" i="1"/>
  <c r="O44" i="1"/>
  <c r="P47" i="1"/>
  <c r="C63" i="1"/>
  <c r="G63" i="1"/>
  <c r="K63" i="1"/>
  <c r="F64" i="1"/>
  <c r="J65" i="1" s="1"/>
  <c r="J64" i="1"/>
  <c r="N65" i="1" s="1"/>
  <c r="O61" i="1"/>
  <c r="D63" i="1"/>
  <c r="H63" i="1"/>
  <c r="L63" i="1"/>
  <c r="E63" i="1"/>
  <c r="I63" i="1"/>
  <c r="M63" i="1"/>
  <c r="L65" i="1" l="1"/>
  <c r="I65" i="1"/>
  <c r="O65" i="1"/>
  <c r="H65" i="1"/>
  <c r="K65" i="1"/>
  <c r="M65" i="1"/>
  <c r="P63" i="1"/>
  <c r="O63" i="1"/>
</calcChain>
</file>

<file path=xl/sharedStrings.xml><?xml version="1.0" encoding="utf-8"?>
<sst xmlns="http://schemas.openxmlformats.org/spreadsheetml/2006/main" count="77" uniqueCount="41">
  <si>
    <t>Employee</t>
  </si>
  <si>
    <t xml:space="preserve">January 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</si>
  <si>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</si>
  <si>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</si>
  <si>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</si>
  <si>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</si>
  <si>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</si>
  <si>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</si>
  <si>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</si>
  <si>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</si>
  <si>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</si>
  <si>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</si>
  <si>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</si>
  <si>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Rolling Summary</t>
  </si>
  <si>
    <t xml:space="preserve">% of utlization to Capacity </t>
  </si>
  <si>
    <t xml:space="preserve">VS Capacity </t>
  </si>
  <si>
    <t xml:space="preserve">Monthly Varianace </t>
  </si>
  <si>
    <t>Total</t>
  </si>
  <si>
    <t>Actual</t>
  </si>
  <si>
    <t>Capacity</t>
  </si>
  <si>
    <t>Variance</t>
  </si>
  <si>
    <t>Consultant A</t>
  </si>
  <si>
    <t>Consultant B</t>
  </si>
  <si>
    <t>Consultant C</t>
  </si>
  <si>
    <t>Consultant D</t>
  </si>
  <si>
    <t>Consultant E</t>
  </si>
  <si>
    <t>Consultant F</t>
  </si>
  <si>
    <t>Consultant G</t>
  </si>
  <si>
    <t>Consultant I</t>
  </si>
  <si>
    <t>Consultant J</t>
  </si>
  <si>
    <t>Consultant K</t>
  </si>
  <si>
    <t>Consultant L</t>
  </si>
  <si>
    <t>Consultant M</t>
  </si>
  <si>
    <t>Consultant N</t>
  </si>
  <si>
    <t>Consultant O</t>
  </si>
  <si>
    <t>Consultant P</t>
  </si>
  <si>
    <t>Consultant Q</t>
  </si>
  <si>
    <t>Consultant R</t>
  </si>
  <si>
    <t>Mr. S</t>
  </si>
  <si>
    <t>Consultant 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</si>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</sst>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10000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0" fontId="0" fillId="2" borderId="4" xfId="0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4" borderId="0" xfId="0" applyFill="1"/>
    <xf numFmtId="3" fontId="3" fillId="2" borderId="6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/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6" xfId="0" applyBorder="1"/>
    <xf numFmtId="3" fontId="3" fillId="5" borderId="6" xfId="0" applyNumberFormat="1" applyFont="1" applyFill="1" applyBorder="1" applyAlignment="1">
      <alignment horizontal="center" vertical="center"/>
    </xf>
    <xf numFmtId="3" fontId="3" fillId="5" borderId="7" xfId="0" applyNumberFormat="1" applyFont="1" applyFill="1" applyBorder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38" fontId="3" fillId="0" borderId="6" xfId="0" applyNumberFormat="1" applyFont="1" applyBorder="1" applyAlignment="1">
      <alignment horizontal="center" vertical="center"/>
    </xf>
    <xf numFmtId="9" fontId="3" fillId="5" borderId="4" xfId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3" fontId="0" fillId="2" borderId="6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5" borderId="6" xfId="0" applyNumberFormat="1" applyFill="1" applyBorder="1" applyAlignment="1">
      <alignment horizontal="center"/>
    </xf>
    <xf numFmtId="3" fontId="0" fillId="5" borderId="7" xfId="0" applyNumberFormat="1" applyFill="1" applyBorder="1" applyAlignment="1">
      <alignment horizontal="center"/>
    </xf>
    <xf numFmtId="3" fontId="0" fillId="5" borderId="0" xfId="0" applyNumberFormat="1" applyFill="1" applyAlignment="1">
      <alignment horizontal="center"/>
    </xf>
    <xf numFmtId="3" fontId="3" fillId="0" borderId="6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38" fontId="0" fillId="0" borderId="6" xfId="0" applyNumberFormat="1" applyBorder="1" applyAlignment="1">
      <alignment horizontal="center"/>
    </xf>
    <xf numFmtId="38" fontId="3" fillId="2" borderId="6" xfId="0" applyNumberFormat="1" applyFont="1" applyFill="1" applyBorder="1" applyAlignment="1">
      <alignment horizontal="center" vertical="center"/>
    </xf>
    <xf numFmtId="38" fontId="3" fillId="2" borderId="7" xfId="0" applyNumberFormat="1" applyFont="1" applyFill="1" applyBorder="1" applyAlignment="1">
      <alignment horizontal="center" vertical="center"/>
    </xf>
    <xf numFmtId="38" fontId="3" fillId="2" borderId="0" xfId="0" applyNumberFormat="1" applyFont="1" applyFill="1" applyAlignment="1">
      <alignment horizontal="center" vertical="center"/>
    </xf>
    <xf numFmtId="9" fontId="3" fillId="5" borderId="0" xfId="1" applyFont="1" applyFill="1" applyBorder="1" applyAlignment="1">
      <alignment horizontal="center" vertical="center"/>
    </xf>
    <xf numFmtId="38" fontId="3" fillId="0" borderId="7" xfId="0" applyNumberFormat="1" applyFont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vertical="top" wrapText="1"/>
    </xf>
    <xf numFmtId="0" fontId="0" fillId="0" borderId="9" xfId="0" applyBorder="1"/>
    <xf numFmtId="38" fontId="3" fillId="0" borderId="9" xfId="0" applyNumberFormat="1" applyFont="1" applyBorder="1" applyAlignment="1">
      <alignment horizontal="center" vertical="center"/>
    </xf>
    <xf numFmtId="38" fontId="3" fillId="6" borderId="9" xfId="0" applyNumberFormat="1" applyFont="1" applyFill="1" applyBorder="1" applyAlignment="1">
      <alignment horizontal="center" vertical="center"/>
    </xf>
    <xf numFmtId="38" fontId="3" fillId="6" borderId="10" xfId="0" applyNumberFormat="1" applyFont="1" applyFill="1" applyBorder="1" applyAlignment="1">
      <alignment horizontal="center" vertical="center"/>
    </xf>
    <xf numFmtId="0" fontId="0" fillId="3" borderId="6" xfId="0" applyFill="1" applyBorder="1"/>
    <xf numFmtId="3" fontId="0" fillId="3" borderId="6" xfId="0" applyNumberFormat="1" applyFill="1" applyBorder="1"/>
    <xf numFmtId="38" fontId="0" fillId="3" borderId="6" xfId="0" applyNumberFormat="1" applyFill="1" applyBorder="1"/>
    <xf numFmtId="9" fontId="3" fillId="3" borderId="6" xfId="1" applyFont="1" applyFill="1" applyBorder="1" applyAlignment="1">
      <alignment horizontal="center" vertical="center"/>
    </xf>
    <xf numFmtId="9" fontId="0" fillId="3" borderId="6" xfId="1" applyFont="1" applyFill="1" applyBorder="1"/>
    <xf numFmtId="0" fontId="0" fillId="7" borderId="2" xfId="0" applyFill="1" applyBorder="1"/>
    <xf numFmtId="0" fontId="0" fillId="7" borderId="3" xfId="0" applyFill="1" applyBorder="1"/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835178109009425E-2"/>
          <c:y val="8.5693214321746924E-2"/>
          <c:w val="0.85119678163445422"/>
          <c:h val="0.75849258659058905"/>
        </c:manualLayout>
      </c:layout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Sheet1!$C$64:$M$64</c:f>
              <c:numCache>
                <c:formatCode>0%</c:formatCode>
                <c:ptCount val="11"/>
                <c:pt idx="0">
                  <c:v>0.70522052315111561</c:v>
                </c:pt>
                <c:pt idx="1">
                  <c:v>1.1050713722460934</c:v>
                </c:pt>
                <c:pt idx="2">
                  <c:v>0.93577188251391508</c:v>
                </c:pt>
                <c:pt idx="3">
                  <c:v>0.9510708313103523</c:v>
                </c:pt>
                <c:pt idx="4">
                  <c:v>0.89303864115007792</c:v>
                </c:pt>
                <c:pt idx="5">
                  <c:v>1.0355350579097025</c:v>
                </c:pt>
                <c:pt idx="6">
                  <c:v>0.93381468110709986</c:v>
                </c:pt>
                <c:pt idx="7">
                  <c:v>0.98822258238789829</c:v>
                </c:pt>
                <c:pt idx="8">
                  <c:v>1.2776533333333333</c:v>
                </c:pt>
                <c:pt idx="9">
                  <c:v>0.92815999999999999</c:v>
                </c:pt>
                <c:pt idx="10">
                  <c:v>0.85700725851479609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0-1F4E-8580-DBC528CEC501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0.10549963690684189"/>
                  <c:y val="-5.0785278232859036E-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D0-1F4E-8580-DBC528CEC5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Sheet1!$E$65:$O$65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 formatCode="0%">
                  <c:v>0.91535459263704144</c:v>
                </c:pt>
                <c:pt idx="3" formatCode="0%">
                  <c:v>0.9973046953567869</c:v>
                </c:pt>
                <c:pt idx="4" formatCode="0%">
                  <c:v>0.92662711832478184</c:v>
                </c:pt>
                <c:pt idx="5" formatCode="0%">
                  <c:v>0.95988151012337752</c:v>
                </c:pt>
                <c:pt idx="6" formatCode="0%">
                  <c:v>0.95412946005562682</c:v>
                </c:pt>
                <c:pt idx="7" formatCode="0%">
                  <c:v>0.98585744046823354</c:v>
                </c:pt>
                <c:pt idx="8" formatCode="0%">
                  <c:v>1.0665635322761104</c:v>
                </c:pt>
                <c:pt idx="9" formatCode="0%">
                  <c:v>1.0646786385737439</c:v>
                </c:pt>
                <c:pt idx="10" formatCode="0%">
                  <c:v>1.0209401972827099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D0-1F4E-8580-DBC528CEC50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1696959"/>
        <c:axId val="1898637999"/>
      </c:lineChart>
      <c:catAx>
        <c:axId val="1791696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37999"/>
        <c:crosses val="autoZero"/>
        <c:auto val="1"/>
        <c:lblAlgn val="ctr"/>
        <c:lblOffset val="100"/>
        <c:noMultiLvlLbl val="0"/>
      </c:catAx>
      <c:valAx>
        <c:axId val="189863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9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Sheet1!$C$64:$M$64</c:f>
              <c:numCache>
                <c:formatCode>0%</c:formatCode>
                <c:ptCount val="11"/>
                <c:pt idx="0">
                  <c:v>0.70522052315111561</c:v>
                </c:pt>
                <c:pt idx="1">
                  <c:v>1.1050713722460934</c:v>
                </c:pt>
                <c:pt idx="2">
                  <c:v>0.93577188251391508</c:v>
                </c:pt>
                <c:pt idx="3">
                  <c:v>0.9510708313103523</c:v>
                </c:pt>
                <c:pt idx="4">
                  <c:v>0.89303864115007792</c:v>
                </c:pt>
                <c:pt idx="5">
                  <c:v>1.0355350579097025</c:v>
                </c:pt>
                <c:pt idx="6">
                  <c:v>0.93381468110709986</c:v>
                </c:pt>
                <c:pt idx="7">
                  <c:v>0.98822258238789829</c:v>
                </c:pt>
                <c:pt idx="8">
                  <c:v>1.2776533333333333</c:v>
                </c:pt>
                <c:pt idx="9">
                  <c:v>0.92815999999999999</c:v>
                </c:pt>
                <c:pt idx="10">
                  <c:v>0.85700725851479609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2-6B4C-9FD0-A22008A6319D}"/>
            </c:ext>
          </c:extLst>
        </c:ser>
        <c:ser>
          <c:idx val="1"/>
          <c:order val="1"/>
          <c:tx>
            <c:v>Forecast</c:v>
          </c:tx>
          <c:val>
            <c:numRef>
              <c:f>Sheet1!$E$65:$O$65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 formatCode="0%">
                  <c:v>0.91535459263704144</c:v>
                </c:pt>
                <c:pt idx="3" formatCode="0%">
                  <c:v>0.9973046953567869</c:v>
                </c:pt>
                <c:pt idx="4" formatCode="0%">
                  <c:v>0.92662711832478184</c:v>
                </c:pt>
                <c:pt idx="5" formatCode="0%">
                  <c:v>0.95988151012337752</c:v>
                </c:pt>
                <c:pt idx="6" formatCode="0%">
                  <c:v>0.95412946005562682</c:v>
                </c:pt>
                <c:pt idx="7" formatCode="0%">
                  <c:v>0.98585744046823354</c:v>
                </c:pt>
                <c:pt idx="8" formatCode="0%">
                  <c:v>1.0665635322761104</c:v>
                </c:pt>
                <c:pt idx="9" formatCode="0%">
                  <c:v>1.0646786385737439</c:v>
                </c:pt>
                <c:pt idx="10" formatCode="0%">
                  <c:v>1.0209401972827099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F2-6B4C-9FD0-A22008A6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569151"/>
        <c:axId val="1456071871"/>
      </c:lineChart>
      <c:catAx>
        <c:axId val="1410569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456071871"/>
        <c:crosses val="autoZero"/>
        <c:auto val="1"/>
        <c:lblAlgn val="ctr"/>
        <c:lblOffset val="100"/>
        <c:noMultiLvlLbl val="0"/>
      </c:catAx>
      <c:valAx>
        <c:axId val="14560718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105691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Sheet1!$B$64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41275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val>
            <c:numRef>
              <c:f>Sheet1!$C$64:$M$64</c:f>
              <c:numCache>
                <c:formatCode>0%</c:formatCode>
                <c:ptCount val="11"/>
                <c:pt idx="0">
                  <c:v>0.70522052315111561</c:v>
                </c:pt>
                <c:pt idx="1">
                  <c:v>1.1050713722460934</c:v>
                </c:pt>
                <c:pt idx="2">
                  <c:v>0.93577188251391508</c:v>
                </c:pt>
                <c:pt idx="3">
                  <c:v>0.9510708313103523</c:v>
                </c:pt>
                <c:pt idx="4">
                  <c:v>0.89303864115007792</c:v>
                </c:pt>
                <c:pt idx="5">
                  <c:v>1.0355350579097025</c:v>
                </c:pt>
                <c:pt idx="6">
                  <c:v>0.93381468110709986</c:v>
                </c:pt>
                <c:pt idx="7">
                  <c:v>0.98822258238789829</c:v>
                </c:pt>
                <c:pt idx="8">
                  <c:v>1.2776533333333333</c:v>
                </c:pt>
                <c:pt idx="9">
                  <c:v>0.92815999999999999</c:v>
                </c:pt>
                <c:pt idx="10">
                  <c:v>0.85700725851479609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3-6F45-B756-F26F45846E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6462799"/>
        <c:axId val="1435773711"/>
      </c:barChart>
      <c:catAx>
        <c:axId val="1436462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73711"/>
        <c:crosses val="autoZero"/>
        <c:auto val="1"/>
        <c:lblAlgn val="ctr"/>
        <c:lblOffset val="100"/>
        <c:noMultiLvlLbl val="0"/>
      </c:catAx>
      <c:valAx>
        <c:axId val="143577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6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chart" Target="../charts/chart3.xml"/><Relationship Id="rId7" Type="http://schemas.openxmlformats.org/officeDocument/2006/relationships/customXml" Target="../ink/ink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ustomXml" Target="../ink/ink2.xml"/><Relationship Id="rId5" Type="http://schemas.openxmlformats.org/officeDocument/2006/relationships/image" Target="../media/image1.png"/><Relationship Id="rId10" Type="http://schemas.openxmlformats.org/officeDocument/2006/relationships/customXml" Target="../ink/ink6.xml"/><Relationship Id="rId4" Type="http://schemas.openxmlformats.org/officeDocument/2006/relationships/customXml" Target="../ink/ink1.xml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585460</xdr:colOff>
      <xdr:row>67</xdr:row>
      <xdr:rowOff>54043</xdr:rowOff>
    </xdr:from>
    <xdr:to>
      <xdr:col>10</xdr:col>
      <xdr:colOff>549431</xdr:colOff>
      <xdr:row>91</xdr:row>
      <xdr:rowOff>153121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60103-630C-D358-9DA0-AEB9A246F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23</xdr:row>
      <xdr:rowOff>165100</xdr:rowOff>
    </xdr:from>
    <xdr:to>
      <xdr:col>10</xdr:col>
      <xdr:colOff>381000</xdr:colOff>
      <xdr:row>32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C8480F-175E-85F2-F4F1-39A7E51CC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528716</xdr:colOff>
      <xdr:row>94</xdr:row>
      <xdr:rowOff>56022</xdr:rowOff>
    </xdr:from>
    <xdr:to>
      <xdr:col>10</xdr:col>
      <xdr:colOff>522410</xdr:colOff>
      <xdr:row>116</xdr:row>
      <xdr:rowOff>117091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BC64A2-2D38-4A67-8CE6-F7BB0E40F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322995</xdr:colOff>
      <xdr:row>74</xdr:row>
      <xdr:rowOff>70380</xdr:rowOff>
    </xdr:from>
    <xdr:to>
      <xdr:col>4</xdr:col>
      <xdr:colOff>323355</xdr:colOff>
      <xdr:row>74</xdr:row>
      <xdr:rowOff>70740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6B8F13B-1B31-36C6-C9FD-CA8C6D8B37B2}"/>
                </a:ext>
              </a:extLst>
            </xdr14:cNvPr>
            <xdr14:cNvContentPartPr/>
          </xdr14:nvContentPartPr>
          <xdr14:nvPr macro=""/>
          <xdr14:xfrm>
            <a:off x="2971080" y="1630116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6B8F13B-1B31-36C6-C9FD-CA8C6D8B37B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881440" y="16121520"/>
              <a:ext cx="18000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521302</xdr:colOff>
      <xdr:row>73</xdr:row>
      <xdr:rowOff>158009</xdr:rowOff>
    </xdr:from>
    <xdr:to>
      <xdr:col>5</xdr:col>
      <xdr:colOff>521662</xdr:colOff>
      <xdr:row>73</xdr:row>
      <xdr:rowOff>158369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C640102-3169-C396-C219-DD21A87C7692}"/>
                </a:ext>
              </a:extLst>
            </xdr14:cNvPr>
            <xdr14:cNvContentPartPr/>
          </xdr14:nvContentPartPr>
          <xdr14:nvPr macro=""/>
          <xdr14:xfrm>
            <a:off x="4151160" y="16199640"/>
            <a:ext cx="360" cy="3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C640102-3169-C396-C219-DD21A87C769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61160" y="16019640"/>
              <a:ext cx="18000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256546</xdr:colOff>
      <xdr:row>71</xdr:row>
      <xdr:rowOff>53907</xdr:rowOff>
    </xdr:from>
    <xdr:to>
      <xdr:col>8</xdr:col>
      <xdr:colOff>256906</xdr:colOff>
      <xdr:row>71</xdr:row>
      <xdr:rowOff>54267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90B6350-E906-635B-F92D-6BEBA3092951}"/>
                </a:ext>
              </a:extLst>
            </xdr14:cNvPr>
            <xdr14:cNvContentPartPr/>
          </xdr14:nvContentPartPr>
          <xdr14:nvPr macro=""/>
          <xdr14:xfrm>
            <a:off x="5913000" y="15717240"/>
            <a:ext cx="360" cy="3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90B6350-E906-635B-F92D-6BEBA309295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23000" y="15537240"/>
              <a:ext cx="18000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368715</xdr:colOff>
      <xdr:row>101</xdr:row>
      <xdr:rowOff>22439</xdr:rowOff>
    </xdr:from>
    <xdr:to>
      <xdr:col>4</xdr:col>
      <xdr:colOff>369075</xdr:colOff>
      <xdr:row>101</xdr:row>
      <xdr:rowOff>22799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4BC24FA-3B51-D96D-450C-018894388795}"/>
                </a:ext>
              </a:extLst>
            </xdr14:cNvPr>
            <xdr14:cNvContentPartPr/>
          </xdr14:nvContentPartPr>
          <xdr14:nvPr macro=""/>
          <xdr14:xfrm>
            <a:off x="3016800" y="21360240"/>
            <a:ext cx="360" cy="3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4BC24FA-3B51-D96D-450C-01889438879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26800" y="21180600"/>
              <a:ext cx="18000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540382</xdr:colOff>
      <xdr:row>100</xdr:row>
      <xdr:rowOff>177388</xdr:rowOff>
    </xdr:from>
    <xdr:to>
      <xdr:col>5</xdr:col>
      <xdr:colOff>540742</xdr:colOff>
      <xdr:row>100</xdr:row>
      <xdr:rowOff>177748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2CF96CC-32EF-B981-0B66-C9B69C5B23A4}"/>
                </a:ext>
              </a:extLst>
            </xdr14:cNvPr>
            <xdr14:cNvContentPartPr/>
          </xdr14:nvContentPartPr>
          <xdr14:nvPr macro=""/>
          <xdr14:xfrm>
            <a:off x="4170240" y="21326040"/>
            <a:ext cx="360" cy="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2CF96CC-32EF-B981-0B66-C9B69C5B23A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80240" y="21146400"/>
              <a:ext cx="18000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266986</xdr:colOff>
      <xdr:row>98</xdr:row>
      <xdr:rowOff>110365</xdr:rowOff>
    </xdr:from>
    <xdr:to>
      <xdr:col>8</xdr:col>
      <xdr:colOff>267346</xdr:colOff>
      <xdr:row>98</xdr:row>
      <xdr:rowOff>110725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FBE053A-7E4D-F0C0-8B7B-15E5A2226FE2}"/>
                </a:ext>
              </a:extLst>
            </xdr14:cNvPr>
            <xdr14:cNvContentPartPr/>
          </xdr14:nvContentPartPr>
          <xdr14:nvPr macro=""/>
          <xdr14:xfrm>
            <a:off x="5923440" y="20880720"/>
            <a:ext cx="360" cy="3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FBE053A-7E4D-F0C0-8B7B-15E5A2226FE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33800" y="20700720"/>
              <a:ext cx="180000" cy="360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1T06:08:21.707"/>
    </inkml:context>
    <inkml:brush xml:id="br0">
      <inkml:brushProperty name="width" value="0.5" units="cm"/>
      <inkml:brushProperty name="height" value="1" units="cm"/>
      <inkml:brushProperty name="color" value="#FF2500"/>
      <inkml:brushProperty name="tip" value="rectangle"/>
      <inkml:brushProperty name="rasterOp" value="maskPen"/>
    </inkml:brush>
  </inkml:definitions>
  <inkml:trace contextRef="#ctx0" brushRef="#br0">1 1 16383,'0'0'0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1T06:08:24.724"/>
    </inkml:context>
    <inkml:brush xml:id="br0">
      <inkml:brushProperty name="width" value="0.5" units="cm"/>
      <inkml:brushProperty name="height" value="1" units="cm"/>
      <inkml:brushProperty name="color" value="#FF2500"/>
      <inkml:brushProperty name="tip" value="rectangle"/>
      <inkml:brushProperty name="rasterOp" value="maskPen"/>
    </inkml:brush>
  </inkml:definitions>
  <inkml:trace contextRef="#ctx0" brushRef="#br0">0 0 16383,'0'0'0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1T06:08:26.574"/>
    </inkml:context>
    <inkml:brush xml:id="br0">
      <inkml:brushProperty name="width" value="0.5" units="cm"/>
      <inkml:brushProperty name="height" value="1" units="cm"/>
      <inkml:brushProperty name="color" value="#FF2500"/>
      <inkml:brushProperty name="tip" value="rectangle"/>
      <inkml:brushProperty name="rasterOp" value="maskPen"/>
    </inkml:brush>
  </inkml:definitions>
  <inkml:trace contextRef="#ctx0" brushRef="#br0">0 0 16383,'0'0'0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1T06:08:33.341"/>
    </inkml:context>
    <inkml:brush xml:id="br0">
      <inkml:brushProperty name="width" value="0.5" units="cm"/>
      <inkml:brushProperty name="height" value="1" units="cm"/>
      <inkml:brushProperty name="color" value="#FF2500"/>
      <inkml:brushProperty name="tip" value="rectangle"/>
      <inkml:brushProperty name="rasterOp" value="maskPen"/>
    </inkml:brush>
  </inkml:definitions>
  <inkml:trace contextRef="#ctx0" brushRef="#br0">0 1 16383,'0'0'0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1T06:09:04.691"/>
    </inkml:context>
    <inkml:brush xml:id="br0">
      <inkml:brushProperty name="width" value="0.5" units="cm"/>
      <inkml:brushProperty name="height" value="1" units="cm"/>
      <inkml:brushProperty name="color" value="#FF2500"/>
      <inkml:brushProperty name="tip" value="rectangle"/>
      <inkml:brushProperty name="rasterOp" value="maskPen"/>
    </inkml:brush>
  </inkml:definitions>
  <inkml:trace contextRef="#ctx0" brushRef="#br0">0 1 16383,'0'0'0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7-01T06:09:06.375"/>
    </inkml:context>
    <inkml:brush xml:id="br0">
      <inkml:brushProperty name="width" value="0.5" units="cm"/>
      <inkml:brushProperty name="height" value="1" units="cm"/>
      <inkml:brushProperty name="color" value="#FF2500"/>
      <inkml:brushProperty name="tip" value="rectangle"/>
      <inkml:brushProperty name="rasterOp" value="maskPen"/>
    </inkml:brush>
  </inkml:definitions>
  <inkml:trace contextRef="#ctx0" brushRef="#br0">1 0 16383,'0'0'0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A70C-7E39-4510-9907-86DB7360F0AD}">
  <dimension ref="A1:P66"/>
  <sheetViews>
    <sheetView tabSelected="1" topLeftCell="A6" zoomScale="141" workbookViewId="0">
      <selection activeCell="M91" sqref="M91"/>
    </sheetView>
  </sheetViews>
  <sheetFormatPr baseColWidth="10" defaultColWidth="8.83203125" defaultRowHeight="15" x14ac:dyDescent="0.2"/>
  <cols>
    <col min="3" max="3" width="8.1640625" bestFit="1" customWidth="1"/>
    <col min="5" max="5" width="12.83203125" customWidth="1"/>
    <col min="15" max="15" width="16" bestFit="1" customWidth="1"/>
    <col min="16" max="16" width="24.6640625" bestFit="1" customWidth="1"/>
  </cols>
  <sheetData>
    <row r="1" spans="1:16" x14ac:dyDescent="0.2">
      <c r="A1" s="50" t="s">
        <v>0</v>
      </c>
      <c r="B1" s="51"/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9</v>
      </c>
      <c r="L1" s="46" t="s">
        <v>10</v>
      </c>
      <c r="M1" s="47" t="s">
        <v>11</v>
      </c>
      <c r="N1" s="1" t="s">
        <v>12</v>
      </c>
      <c r="O1" s="2" t="s">
        <v>13</v>
      </c>
      <c r="P1" s="1" t="s">
        <v>14</v>
      </c>
    </row>
    <row r="2" spans="1:16" x14ac:dyDescent="0.2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7"/>
    </row>
    <row r="3" spans="1:16" x14ac:dyDescent="0.2">
      <c r="A3" s="48" t="s">
        <v>21</v>
      </c>
      <c r="B3" s="49"/>
      <c r="C3" s="8">
        <v>82</v>
      </c>
      <c r="D3" s="8">
        <v>87</v>
      </c>
      <c r="E3" s="8">
        <v>99</v>
      </c>
      <c r="F3" s="8">
        <v>40</v>
      </c>
      <c r="G3" s="8">
        <v>64</v>
      </c>
      <c r="H3" s="8">
        <v>114</v>
      </c>
      <c r="I3" s="8">
        <v>70</v>
      </c>
      <c r="J3" s="8">
        <v>63</v>
      </c>
      <c r="K3" s="8">
        <v>96</v>
      </c>
      <c r="L3" s="8">
        <v>74</v>
      </c>
      <c r="M3" s="9">
        <v>50</v>
      </c>
      <c r="N3" s="10"/>
      <c r="O3" s="11">
        <f>SUM(C3:M3)</f>
        <v>839</v>
      </c>
    </row>
    <row r="4" spans="1:16" x14ac:dyDescent="0.2">
      <c r="A4" s="12" t="s">
        <v>15</v>
      </c>
      <c r="B4" s="13"/>
      <c r="C4" s="15">
        <v>82</v>
      </c>
      <c r="D4" s="15">
        <v>78</v>
      </c>
      <c r="E4" s="15">
        <v>95</v>
      </c>
      <c r="F4" s="15">
        <v>70</v>
      </c>
      <c r="G4" s="15">
        <v>82</v>
      </c>
      <c r="H4" s="15">
        <v>91</v>
      </c>
      <c r="I4" s="15">
        <v>86</v>
      </c>
      <c r="J4" s="15">
        <v>91</v>
      </c>
      <c r="K4" s="15">
        <v>86</v>
      </c>
      <c r="L4" s="15">
        <v>86</v>
      </c>
      <c r="M4" s="16">
        <v>82</v>
      </c>
      <c r="N4" s="17"/>
      <c r="O4" s="11">
        <f>SUM(C4:M4)</f>
        <v>929</v>
      </c>
    </row>
    <row r="5" spans="1:16" ht="24" x14ac:dyDescent="0.2">
      <c r="A5" s="12" t="s">
        <v>16</v>
      </c>
      <c r="B5" s="13"/>
      <c r="C5" s="18">
        <f>C3-C4</f>
        <v>0</v>
      </c>
      <c r="D5" s="18">
        <f t="shared" ref="D5:L5" si="0">D3-D4</f>
        <v>9</v>
      </c>
      <c r="E5" s="18">
        <f t="shared" si="0"/>
        <v>4</v>
      </c>
      <c r="F5" s="18">
        <f t="shared" si="0"/>
        <v>-30</v>
      </c>
      <c r="G5" s="18">
        <f t="shared" si="0"/>
        <v>-18</v>
      </c>
      <c r="H5" s="18">
        <f t="shared" si="0"/>
        <v>23</v>
      </c>
      <c r="I5" s="18">
        <f t="shared" si="0"/>
        <v>-16</v>
      </c>
      <c r="J5" s="18">
        <f t="shared" si="0"/>
        <v>-28</v>
      </c>
      <c r="K5" s="18">
        <f t="shared" si="0"/>
        <v>10</v>
      </c>
      <c r="L5" s="18">
        <f t="shared" si="0"/>
        <v>-12</v>
      </c>
      <c r="M5" s="18">
        <f>M3-M4</f>
        <v>-32</v>
      </c>
      <c r="N5" s="18">
        <f>N3-N4</f>
        <v>0</v>
      </c>
      <c r="O5" s="11">
        <f>SUM(C5:H5)</f>
        <v>-12</v>
      </c>
      <c r="P5" s="19">
        <f>O3/O4</f>
        <v>0.90312163616792251</v>
      </c>
    </row>
    <row r="6" spans="1:16" x14ac:dyDescent="0.2">
      <c r="A6" s="48" t="s">
        <v>22</v>
      </c>
      <c r="B6" s="49"/>
      <c r="C6" s="8">
        <v>70</v>
      </c>
      <c r="D6" s="8">
        <v>113.5</v>
      </c>
      <c r="E6" s="8">
        <v>90</v>
      </c>
      <c r="F6" s="8">
        <v>84.5</v>
      </c>
      <c r="G6" s="8">
        <v>112</v>
      </c>
      <c r="H6" s="8">
        <v>137.5</v>
      </c>
      <c r="I6" s="8">
        <v>134</v>
      </c>
      <c r="J6" s="8">
        <v>132.5</v>
      </c>
      <c r="K6" s="8">
        <v>132</v>
      </c>
      <c r="L6" s="8">
        <v>130.5</v>
      </c>
      <c r="M6" s="9">
        <v>89</v>
      </c>
      <c r="N6" s="10"/>
      <c r="O6" s="11">
        <f>SUM(C6:M6)</f>
        <v>1225.5</v>
      </c>
    </row>
    <row r="7" spans="1:16" x14ac:dyDescent="0.2">
      <c r="A7" s="12" t="s">
        <v>15</v>
      </c>
      <c r="B7" s="20"/>
      <c r="C7" s="15">
        <v>110</v>
      </c>
      <c r="D7" s="15">
        <v>104</v>
      </c>
      <c r="E7" s="15">
        <v>126</v>
      </c>
      <c r="F7" s="15">
        <v>93</v>
      </c>
      <c r="G7" s="15">
        <v>110</v>
      </c>
      <c r="H7" s="15">
        <v>121</v>
      </c>
      <c r="I7" s="15">
        <v>115</v>
      </c>
      <c r="J7" s="15">
        <v>121</v>
      </c>
      <c r="K7" s="15">
        <v>115</v>
      </c>
      <c r="L7" s="15">
        <v>115</v>
      </c>
      <c r="M7" s="16">
        <v>110</v>
      </c>
      <c r="N7" s="17"/>
      <c r="O7" s="11">
        <f>SUM(C7:M7)</f>
        <v>1240</v>
      </c>
    </row>
    <row r="8" spans="1:16" ht="24" x14ac:dyDescent="0.2">
      <c r="A8" s="12" t="s">
        <v>16</v>
      </c>
      <c r="B8" s="20"/>
      <c r="C8" s="18">
        <f>C6-C7</f>
        <v>-40</v>
      </c>
      <c r="D8" s="18">
        <f t="shared" ref="D8:N8" si="1">D6-D7</f>
        <v>9.5</v>
      </c>
      <c r="E8" s="18">
        <f t="shared" si="1"/>
        <v>-36</v>
      </c>
      <c r="F8" s="18">
        <f t="shared" si="1"/>
        <v>-8.5</v>
      </c>
      <c r="G8" s="18">
        <f t="shared" si="1"/>
        <v>2</v>
      </c>
      <c r="H8" s="18">
        <f t="shared" si="1"/>
        <v>16.5</v>
      </c>
      <c r="I8" s="18">
        <f t="shared" si="1"/>
        <v>19</v>
      </c>
      <c r="J8" s="18">
        <f t="shared" si="1"/>
        <v>11.5</v>
      </c>
      <c r="K8" s="18">
        <f t="shared" si="1"/>
        <v>17</v>
      </c>
      <c r="L8" s="18">
        <f t="shared" si="1"/>
        <v>15.5</v>
      </c>
      <c r="M8" s="18">
        <f t="shared" si="1"/>
        <v>-21</v>
      </c>
      <c r="N8" s="18">
        <f t="shared" si="1"/>
        <v>0</v>
      </c>
      <c r="O8" s="11">
        <f>SUM(C8:H8)</f>
        <v>-56.5</v>
      </c>
      <c r="P8" s="19">
        <f>O6/O7</f>
        <v>0.9883064516129032</v>
      </c>
    </row>
    <row r="9" spans="1:16" x14ac:dyDescent="0.2">
      <c r="A9" s="48" t="s">
        <v>23</v>
      </c>
      <c r="B9" s="49"/>
      <c r="C9" s="8">
        <v>46.25</v>
      </c>
      <c r="D9" s="8">
        <v>159.75</v>
      </c>
      <c r="E9" s="8">
        <v>164.35</v>
      </c>
      <c r="F9" s="8">
        <v>90.25</v>
      </c>
      <c r="G9" s="8">
        <v>113.25</v>
      </c>
      <c r="H9" s="8">
        <v>205.15</v>
      </c>
      <c r="I9" s="8">
        <v>129</v>
      </c>
      <c r="J9" s="8">
        <v>131.6</v>
      </c>
      <c r="K9" s="8">
        <v>132.80000000000001</v>
      </c>
      <c r="L9" s="8">
        <v>171</v>
      </c>
      <c r="M9" s="9">
        <v>94.5</v>
      </c>
      <c r="N9" s="10"/>
      <c r="O9" s="11">
        <f>SUM(C9:M9)</f>
        <v>1437.8999999999999</v>
      </c>
    </row>
    <row r="10" spans="1:16" x14ac:dyDescent="0.2">
      <c r="A10" s="12" t="s">
        <v>15</v>
      </c>
      <c r="B10" s="20"/>
      <c r="C10" s="15">
        <v>110</v>
      </c>
      <c r="D10" s="15">
        <v>104</v>
      </c>
      <c r="E10" s="15">
        <v>126</v>
      </c>
      <c r="F10" s="15">
        <v>93</v>
      </c>
      <c r="G10" s="15">
        <v>110</v>
      </c>
      <c r="H10" s="15">
        <v>121</v>
      </c>
      <c r="I10" s="15">
        <v>115</v>
      </c>
      <c r="J10" s="15">
        <v>121</v>
      </c>
      <c r="K10" s="15">
        <v>115</v>
      </c>
      <c r="L10" s="15">
        <v>115</v>
      </c>
      <c r="M10" s="16">
        <v>110</v>
      </c>
      <c r="N10" s="17"/>
      <c r="O10" s="11">
        <f>SUM(C10:M10)</f>
        <v>1240</v>
      </c>
    </row>
    <row r="11" spans="1:16" ht="24" x14ac:dyDescent="0.2">
      <c r="A11" s="12" t="s">
        <v>16</v>
      </c>
      <c r="B11" s="20"/>
      <c r="C11" s="18">
        <f>C9-C10</f>
        <v>-63.75</v>
      </c>
      <c r="D11" s="18">
        <f t="shared" ref="D11:N11" si="2">D9-D10</f>
        <v>55.75</v>
      </c>
      <c r="E11" s="18">
        <f t="shared" si="2"/>
        <v>38.349999999999994</v>
      </c>
      <c r="F11" s="18">
        <f t="shared" si="2"/>
        <v>-2.75</v>
      </c>
      <c r="G11" s="18">
        <f t="shared" si="2"/>
        <v>3.25</v>
      </c>
      <c r="H11" s="18">
        <f t="shared" si="2"/>
        <v>84.15</v>
      </c>
      <c r="I11" s="18">
        <f t="shared" si="2"/>
        <v>14</v>
      </c>
      <c r="J11" s="18">
        <f t="shared" si="2"/>
        <v>10.599999999999994</v>
      </c>
      <c r="K11" s="18">
        <f t="shared" si="2"/>
        <v>17.800000000000011</v>
      </c>
      <c r="L11" s="18">
        <f t="shared" si="2"/>
        <v>56</v>
      </c>
      <c r="M11" s="18">
        <f t="shared" si="2"/>
        <v>-15.5</v>
      </c>
      <c r="N11" s="18">
        <f t="shared" si="2"/>
        <v>0</v>
      </c>
      <c r="O11" s="11">
        <f>SUM(C11:H11)</f>
        <v>115</v>
      </c>
      <c r="P11" s="19">
        <f>O9/O10</f>
        <v>1.1595967741935482</v>
      </c>
    </row>
    <row r="12" spans="1:16" x14ac:dyDescent="0.2">
      <c r="A12" s="48" t="s">
        <v>24</v>
      </c>
      <c r="B12" s="49"/>
      <c r="C12" s="8">
        <v>90</v>
      </c>
      <c r="D12" s="8">
        <v>117.25</v>
      </c>
      <c r="E12" s="8">
        <v>81.25</v>
      </c>
      <c r="F12" s="8">
        <v>85.75</v>
      </c>
      <c r="G12" s="8">
        <v>100</v>
      </c>
      <c r="H12" s="8">
        <v>122.75</v>
      </c>
      <c r="I12" s="8">
        <v>80</v>
      </c>
      <c r="J12" s="8">
        <v>118.5</v>
      </c>
      <c r="K12" s="8">
        <v>143</v>
      </c>
      <c r="L12" s="8">
        <v>62.5</v>
      </c>
      <c r="M12" s="9">
        <v>101.8</v>
      </c>
      <c r="N12" s="10"/>
      <c r="O12" s="11">
        <f>SUM(C12:M12)</f>
        <v>1102.8</v>
      </c>
    </row>
    <row r="13" spans="1:16" x14ac:dyDescent="0.2">
      <c r="A13" s="12" t="s">
        <v>15</v>
      </c>
      <c r="B13" s="20"/>
      <c r="C13" s="15">
        <v>110</v>
      </c>
      <c r="D13" s="15">
        <v>104</v>
      </c>
      <c r="E13" s="15">
        <v>126</v>
      </c>
      <c r="F13" s="15">
        <v>93</v>
      </c>
      <c r="G13" s="15">
        <v>110</v>
      </c>
      <c r="H13" s="15">
        <v>121</v>
      </c>
      <c r="I13" s="15">
        <v>115</v>
      </c>
      <c r="J13" s="15">
        <v>121</v>
      </c>
      <c r="K13" s="15">
        <v>115</v>
      </c>
      <c r="L13" s="15">
        <v>115</v>
      </c>
      <c r="M13" s="16">
        <v>110</v>
      </c>
      <c r="N13" s="17"/>
      <c r="O13" s="11">
        <f>SUM(C13:M13)</f>
        <v>1240</v>
      </c>
    </row>
    <row r="14" spans="1:16" ht="24" x14ac:dyDescent="0.2">
      <c r="A14" s="12" t="s">
        <v>16</v>
      </c>
      <c r="B14" s="20"/>
      <c r="C14" s="18">
        <f>C12-C13</f>
        <v>-20</v>
      </c>
      <c r="D14" s="18">
        <f t="shared" ref="D14:N14" si="3">D12-D13</f>
        <v>13.25</v>
      </c>
      <c r="E14" s="18">
        <f t="shared" si="3"/>
        <v>-44.75</v>
      </c>
      <c r="F14" s="18">
        <f t="shared" si="3"/>
        <v>-7.25</v>
      </c>
      <c r="G14" s="18">
        <f t="shared" si="3"/>
        <v>-10</v>
      </c>
      <c r="H14" s="18">
        <f t="shared" si="3"/>
        <v>1.75</v>
      </c>
      <c r="I14" s="18">
        <f t="shared" si="3"/>
        <v>-35</v>
      </c>
      <c r="J14" s="18">
        <f t="shared" si="3"/>
        <v>-2.5</v>
      </c>
      <c r="K14" s="18">
        <f t="shared" si="3"/>
        <v>28</v>
      </c>
      <c r="L14" s="18">
        <f t="shared" si="3"/>
        <v>-52.5</v>
      </c>
      <c r="M14" s="18">
        <f t="shared" si="3"/>
        <v>-8.2000000000000028</v>
      </c>
      <c r="N14" s="18">
        <f t="shared" si="3"/>
        <v>0</v>
      </c>
      <c r="O14" s="11">
        <f>SUM(C14:H14)</f>
        <v>-67</v>
      </c>
      <c r="P14" s="19">
        <f>O12/O13</f>
        <v>0.88935483870967735</v>
      </c>
    </row>
    <row r="15" spans="1:16" x14ac:dyDescent="0.2">
      <c r="A15" s="48" t="s">
        <v>25</v>
      </c>
      <c r="B15" s="49"/>
      <c r="C15" s="8">
        <v>68</v>
      </c>
      <c r="D15" s="8">
        <v>83</v>
      </c>
      <c r="E15" s="8">
        <v>147</v>
      </c>
      <c r="F15" s="8">
        <v>94</v>
      </c>
      <c r="G15" s="8">
        <v>85</v>
      </c>
      <c r="H15" s="8">
        <v>114</v>
      </c>
      <c r="I15" s="8">
        <v>76</v>
      </c>
      <c r="J15" s="8">
        <v>161</v>
      </c>
      <c r="K15" s="8">
        <v>150</v>
      </c>
      <c r="L15" s="8">
        <v>102</v>
      </c>
      <c r="M15" s="9">
        <v>115</v>
      </c>
      <c r="N15" s="10"/>
      <c r="O15" s="11">
        <f>SUM(C15:M15)</f>
        <v>1195</v>
      </c>
    </row>
    <row r="16" spans="1:16" x14ac:dyDescent="0.2">
      <c r="A16" s="12" t="s">
        <v>15</v>
      </c>
      <c r="B16" s="20"/>
      <c r="C16" s="15">
        <v>99</v>
      </c>
      <c r="D16" s="15">
        <v>94</v>
      </c>
      <c r="E16" s="15">
        <v>114</v>
      </c>
      <c r="F16" s="15">
        <v>84</v>
      </c>
      <c r="G16" s="15">
        <v>99</v>
      </c>
      <c r="H16" s="15">
        <v>109</v>
      </c>
      <c r="I16" s="15">
        <v>104</v>
      </c>
      <c r="J16" s="15">
        <v>109</v>
      </c>
      <c r="K16" s="15">
        <v>104</v>
      </c>
      <c r="L16" s="15">
        <v>104</v>
      </c>
      <c r="M16" s="16">
        <v>99</v>
      </c>
      <c r="N16" s="17"/>
      <c r="O16" s="11">
        <f>SUM(C16:M16)</f>
        <v>1119</v>
      </c>
    </row>
    <row r="17" spans="1:16" ht="24" x14ac:dyDescent="0.2">
      <c r="A17" s="12" t="s">
        <v>16</v>
      </c>
      <c r="B17" s="20"/>
      <c r="C17" s="18">
        <f>C15-C16</f>
        <v>-31</v>
      </c>
      <c r="D17" s="18">
        <f t="shared" ref="D17:N17" si="4">D15-D16</f>
        <v>-11</v>
      </c>
      <c r="E17" s="18">
        <f t="shared" si="4"/>
        <v>33</v>
      </c>
      <c r="F17" s="18">
        <f t="shared" si="4"/>
        <v>10</v>
      </c>
      <c r="G17" s="18">
        <f t="shared" si="4"/>
        <v>-14</v>
      </c>
      <c r="H17" s="18">
        <f t="shared" si="4"/>
        <v>5</v>
      </c>
      <c r="I17" s="18">
        <f t="shared" si="4"/>
        <v>-28</v>
      </c>
      <c r="J17" s="18">
        <f t="shared" si="4"/>
        <v>52</v>
      </c>
      <c r="K17" s="18">
        <f t="shared" si="4"/>
        <v>46</v>
      </c>
      <c r="L17" s="18">
        <f t="shared" si="4"/>
        <v>-2</v>
      </c>
      <c r="M17" s="18">
        <f t="shared" si="4"/>
        <v>16</v>
      </c>
      <c r="N17" s="18">
        <f t="shared" si="4"/>
        <v>0</v>
      </c>
      <c r="O17" s="11">
        <f>SUM(C17:H17)</f>
        <v>-8</v>
      </c>
      <c r="P17" s="19">
        <f>O15/O16</f>
        <v>1.0679177837354781</v>
      </c>
    </row>
    <row r="18" spans="1:16" x14ac:dyDescent="0.2">
      <c r="A18" s="48" t="s">
        <v>26</v>
      </c>
      <c r="B18" s="49"/>
      <c r="C18" s="8">
        <v>86</v>
      </c>
      <c r="D18" s="8">
        <v>147</v>
      </c>
      <c r="E18" s="8">
        <v>88.5</v>
      </c>
      <c r="F18" s="8">
        <v>70.5</v>
      </c>
      <c r="G18" s="8">
        <v>74.5</v>
      </c>
      <c r="H18" s="8">
        <v>84</v>
      </c>
      <c r="I18" s="8">
        <v>84</v>
      </c>
      <c r="J18" s="8">
        <v>131.5</v>
      </c>
      <c r="K18" s="8">
        <v>192</v>
      </c>
      <c r="L18" s="8">
        <v>147.5</v>
      </c>
      <c r="M18" s="9">
        <v>112.5</v>
      </c>
      <c r="N18" s="10"/>
      <c r="O18" s="11">
        <f>SUM(C18:M18)</f>
        <v>1218</v>
      </c>
    </row>
    <row r="19" spans="1:16" x14ac:dyDescent="0.2">
      <c r="A19" s="12" t="s">
        <v>15</v>
      </c>
      <c r="B19" s="20"/>
      <c r="C19" s="15">
        <v>110</v>
      </c>
      <c r="D19" s="15">
        <v>104</v>
      </c>
      <c r="E19" s="15">
        <v>126</v>
      </c>
      <c r="F19" s="15">
        <v>93</v>
      </c>
      <c r="G19" s="15">
        <v>110</v>
      </c>
      <c r="H19" s="15">
        <v>121</v>
      </c>
      <c r="I19" s="15">
        <v>115</v>
      </c>
      <c r="J19" s="15">
        <v>121</v>
      </c>
      <c r="K19" s="15">
        <v>115</v>
      </c>
      <c r="L19" s="15">
        <v>115</v>
      </c>
      <c r="M19" s="16">
        <v>110</v>
      </c>
      <c r="N19" s="17"/>
      <c r="O19" s="11">
        <f>SUM(C19:M19)</f>
        <v>1240</v>
      </c>
    </row>
    <row r="20" spans="1:16" ht="24" x14ac:dyDescent="0.2">
      <c r="A20" s="12" t="s">
        <v>16</v>
      </c>
      <c r="B20" s="20"/>
      <c r="C20" s="18">
        <f>C18-C19</f>
        <v>-24</v>
      </c>
      <c r="D20" s="18">
        <f t="shared" ref="D20:N20" si="5">D18-D19</f>
        <v>43</v>
      </c>
      <c r="E20" s="18">
        <f t="shared" si="5"/>
        <v>-37.5</v>
      </c>
      <c r="F20" s="18">
        <f t="shared" si="5"/>
        <v>-22.5</v>
      </c>
      <c r="G20" s="18">
        <f t="shared" si="5"/>
        <v>-35.5</v>
      </c>
      <c r="H20" s="18">
        <f t="shared" si="5"/>
        <v>-37</v>
      </c>
      <c r="I20" s="18">
        <f t="shared" si="5"/>
        <v>-31</v>
      </c>
      <c r="J20" s="18">
        <f t="shared" si="5"/>
        <v>10.5</v>
      </c>
      <c r="K20" s="18">
        <f t="shared" si="5"/>
        <v>77</v>
      </c>
      <c r="L20" s="18">
        <f t="shared" si="5"/>
        <v>32.5</v>
      </c>
      <c r="M20" s="18">
        <f t="shared" si="5"/>
        <v>2.5</v>
      </c>
      <c r="N20" s="18">
        <f t="shared" si="5"/>
        <v>0</v>
      </c>
      <c r="O20" s="11">
        <f>SUM(C20:H20)</f>
        <v>-113.5</v>
      </c>
      <c r="P20" s="19">
        <f>O18/O19</f>
        <v>0.98225806451612907</v>
      </c>
    </row>
    <row r="21" spans="1:16" x14ac:dyDescent="0.2">
      <c r="A21" s="48" t="s">
        <v>27</v>
      </c>
      <c r="B21" s="49"/>
      <c r="C21" s="8">
        <v>118.5</v>
      </c>
      <c r="D21" s="8">
        <v>115.5</v>
      </c>
      <c r="E21" s="8">
        <v>100.5</v>
      </c>
      <c r="F21" s="8">
        <v>102.5</v>
      </c>
      <c r="G21" s="8">
        <v>124</v>
      </c>
      <c r="H21" s="8">
        <v>180</v>
      </c>
      <c r="I21" s="8">
        <v>143</v>
      </c>
      <c r="J21" s="8">
        <v>164</v>
      </c>
      <c r="K21" s="8">
        <v>166.5</v>
      </c>
      <c r="L21" s="8">
        <v>142.5</v>
      </c>
      <c r="M21" s="9">
        <v>61</v>
      </c>
      <c r="N21" s="10"/>
      <c r="O21" s="11">
        <f>SUM(C21:M21)</f>
        <v>1418</v>
      </c>
    </row>
    <row r="22" spans="1:16" x14ac:dyDescent="0.2">
      <c r="A22" s="12" t="s">
        <v>15</v>
      </c>
      <c r="B22" s="20"/>
      <c r="C22" s="15">
        <v>110</v>
      </c>
      <c r="D22" s="15">
        <v>104</v>
      </c>
      <c r="E22" s="15">
        <v>126</v>
      </c>
      <c r="F22" s="15">
        <v>93</v>
      </c>
      <c r="G22" s="15">
        <v>110</v>
      </c>
      <c r="H22" s="15">
        <v>121</v>
      </c>
      <c r="I22" s="15">
        <v>115</v>
      </c>
      <c r="J22" s="15">
        <v>121</v>
      </c>
      <c r="K22" s="15">
        <v>115</v>
      </c>
      <c r="L22" s="15">
        <v>115</v>
      </c>
      <c r="M22" s="16">
        <v>110</v>
      </c>
      <c r="N22" s="17"/>
      <c r="O22" s="11">
        <f>SUM(C22:M22)</f>
        <v>1240</v>
      </c>
    </row>
    <row r="23" spans="1:16" ht="24" x14ac:dyDescent="0.2">
      <c r="A23" s="12" t="s">
        <v>16</v>
      </c>
      <c r="B23" s="20"/>
      <c r="C23" s="18">
        <f>C21-C22</f>
        <v>8.5</v>
      </c>
      <c r="D23" s="18">
        <f t="shared" ref="D23:N23" si="6">D21-D22</f>
        <v>11.5</v>
      </c>
      <c r="E23" s="18">
        <f t="shared" si="6"/>
        <v>-25.5</v>
      </c>
      <c r="F23" s="18">
        <f t="shared" si="6"/>
        <v>9.5</v>
      </c>
      <c r="G23" s="18">
        <f t="shared" si="6"/>
        <v>14</v>
      </c>
      <c r="H23" s="18">
        <f t="shared" si="6"/>
        <v>59</v>
      </c>
      <c r="I23" s="18">
        <f t="shared" si="6"/>
        <v>28</v>
      </c>
      <c r="J23" s="18">
        <f t="shared" si="6"/>
        <v>43</v>
      </c>
      <c r="K23" s="18">
        <f t="shared" si="6"/>
        <v>51.5</v>
      </c>
      <c r="L23" s="18">
        <f t="shared" si="6"/>
        <v>27.5</v>
      </c>
      <c r="M23" s="18">
        <f t="shared" si="6"/>
        <v>-49</v>
      </c>
      <c r="N23" s="18">
        <f t="shared" si="6"/>
        <v>0</v>
      </c>
      <c r="O23" s="11">
        <f>SUM(C23:H23)</f>
        <v>77</v>
      </c>
      <c r="P23" s="19">
        <f>O21/O22</f>
        <v>1.1435483870967742</v>
      </c>
    </row>
    <row r="24" spans="1:16" x14ac:dyDescent="0.2">
      <c r="A24" s="48" t="s">
        <v>28</v>
      </c>
      <c r="B24" s="49"/>
      <c r="C24" s="8">
        <v>22.5</v>
      </c>
      <c r="D24" s="8">
        <v>91</v>
      </c>
      <c r="E24" s="8">
        <v>167.5</v>
      </c>
      <c r="F24" s="8">
        <v>91.75</v>
      </c>
      <c r="G24" s="8">
        <v>127</v>
      </c>
      <c r="H24" s="8">
        <v>137.75</v>
      </c>
      <c r="I24" s="8">
        <v>114</v>
      </c>
      <c r="J24" s="8">
        <v>109.5</v>
      </c>
      <c r="K24" s="8">
        <v>148</v>
      </c>
      <c r="L24" s="8">
        <v>120</v>
      </c>
      <c r="M24" s="9">
        <v>148</v>
      </c>
      <c r="N24" s="10"/>
      <c r="O24" s="11">
        <f>SUM(C24:M24)</f>
        <v>1277</v>
      </c>
    </row>
    <row r="25" spans="1:16" x14ac:dyDescent="0.2">
      <c r="A25" s="12" t="s">
        <v>15</v>
      </c>
      <c r="B25" s="20"/>
      <c r="C25" s="15">
        <v>109.7560975609756</v>
      </c>
      <c r="D25" s="15">
        <v>104.26829268292684</v>
      </c>
      <c r="E25" s="15">
        <v>126.21951219512195</v>
      </c>
      <c r="F25" s="15">
        <v>93.292682926829272</v>
      </c>
      <c r="G25" s="15">
        <v>109.7560975609756</v>
      </c>
      <c r="H25" s="15">
        <v>120.73170731707317</v>
      </c>
      <c r="I25" s="15">
        <v>86</v>
      </c>
      <c r="J25" s="15">
        <v>121</v>
      </c>
      <c r="K25" s="15">
        <v>115</v>
      </c>
      <c r="L25" s="15">
        <v>115</v>
      </c>
      <c r="M25" s="16">
        <v>110</v>
      </c>
      <c r="N25" s="17"/>
      <c r="O25" s="11">
        <f>SUM(C25:M25)</f>
        <v>1211.0243902439024</v>
      </c>
    </row>
    <row r="26" spans="1:16" ht="24" x14ac:dyDescent="0.2">
      <c r="A26" s="12" t="s">
        <v>16</v>
      </c>
      <c r="B26" s="20"/>
      <c r="C26" s="18">
        <f>C24-C25</f>
        <v>-87.256097560975604</v>
      </c>
      <c r="D26" s="18">
        <f t="shared" ref="D26:N26" si="7">D24-D25</f>
        <v>-13.268292682926841</v>
      </c>
      <c r="E26" s="18">
        <f t="shared" si="7"/>
        <v>41.280487804878049</v>
      </c>
      <c r="F26" s="18">
        <f t="shared" si="7"/>
        <v>-1.5426829268292721</v>
      </c>
      <c r="G26" s="18">
        <f t="shared" si="7"/>
        <v>17.243902439024396</v>
      </c>
      <c r="H26" s="18">
        <f t="shared" si="7"/>
        <v>17.018292682926827</v>
      </c>
      <c r="I26" s="18">
        <f t="shared" si="7"/>
        <v>28</v>
      </c>
      <c r="J26" s="18">
        <f t="shared" si="7"/>
        <v>-11.5</v>
      </c>
      <c r="K26" s="18">
        <f t="shared" si="7"/>
        <v>33</v>
      </c>
      <c r="L26" s="18">
        <f t="shared" si="7"/>
        <v>5</v>
      </c>
      <c r="M26" s="18">
        <f t="shared" si="7"/>
        <v>38</v>
      </c>
      <c r="N26" s="18">
        <f t="shared" si="7"/>
        <v>0</v>
      </c>
      <c r="O26" s="11">
        <f>SUM(C26:H26)</f>
        <v>-26.524390243902445</v>
      </c>
      <c r="P26" s="19">
        <f>O24/O25</f>
        <v>1.0544791750584066</v>
      </c>
    </row>
    <row r="27" spans="1:16" x14ac:dyDescent="0.2">
      <c r="A27" s="48" t="s">
        <v>29</v>
      </c>
      <c r="B27" s="49"/>
      <c r="C27" s="8">
        <v>63</v>
      </c>
      <c r="D27" s="8">
        <v>92</v>
      </c>
      <c r="E27" s="8">
        <v>89</v>
      </c>
      <c r="F27" s="8">
        <v>36</v>
      </c>
      <c r="G27" s="8">
        <v>65</v>
      </c>
      <c r="H27" s="8">
        <v>47</v>
      </c>
      <c r="I27" s="8">
        <v>147</v>
      </c>
      <c r="J27" s="8">
        <v>97</v>
      </c>
      <c r="K27" s="8">
        <v>85</v>
      </c>
      <c r="L27" s="8">
        <v>62</v>
      </c>
      <c r="M27" s="9">
        <v>37</v>
      </c>
      <c r="N27" s="10"/>
      <c r="O27" s="11">
        <f>SUM(C27:M27)</f>
        <v>820</v>
      </c>
    </row>
    <row r="28" spans="1:16" x14ac:dyDescent="0.2">
      <c r="A28" s="12" t="s">
        <v>15</v>
      </c>
      <c r="B28" s="20"/>
      <c r="C28" s="15">
        <v>82.317073170731703</v>
      </c>
      <c r="D28" s="15">
        <v>78.201219512195138</v>
      </c>
      <c r="E28" s="15">
        <v>94.664634146341456</v>
      </c>
      <c r="F28" s="15">
        <v>69.969512195121951</v>
      </c>
      <c r="G28" s="15">
        <v>82.317073170731703</v>
      </c>
      <c r="H28" s="15">
        <v>90.548780487804876</v>
      </c>
      <c r="I28" s="15">
        <v>86</v>
      </c>
      <c r="J28" s="15">
        <v>91</v>
      </c>
      <c r="K28" s="15">
        <v>86</v>
      </c>
      <c r="L28" s="15">
        <v>86</v>
      </c>
      <c r="M28" s="16">
        <v>82</v>
      </c>
      <c r="N28" s="17"/>
      <c r="O28" s="11">
        <f>SUM(C28:M28)</f>
        <v>929.01829268292681</v>
      </c>
    </row>
    <row r="29" spans="1:16" ht="24" x14ac:dyDescent="0.2">
      <c r="A29" s="12" t="s">
        <v>16</v>
      </c>
      <c r="B29" s="20"/>
      <c r="C29" s="18">
        <f>C27-C28</f>
        <v>-19.317073170731703</v>
      </c>
      <c r="D29" s="18">
        <f t="shared" ref="D29:N29" si="8">D27-D28</f>
        <v>13.798780487804862</v>
      </c>
      <c r="E29" s="18">
        <f t="shared" si="8"/>
        <v>-5.6646341463414558</v>
      </c>
      <c r="F29" s="18">
        <f t="shared" si="8"/>
        <v>-33.969512195121951</v>
      </c>
      <c r="G29" s="18">
        <f t="shared" si="8"/>
        <v>-17.317073170731703</v>
      </c>
      <c r="H29" s="18">
        <f t="shared" si="8"/>
        <v>-43.548780487804876</v>
      </c>
      <c r="I29" s="18">
        <f t="shared" si="8"/>
        <v>61</v>
      </c>
      <c r="J29" s="18">
        <f t="shared" si="8"/>
        <v>6</v>
      </c>
      <c r="K29" s="18">
        <f t="shared" si="8"/>
        <v>-1</v>
      </c>
      <c r="L29" s="18">
        <f t="shared" si="8"/>
        <v>-24</v>
      </c>
      <c r="M29" s="18">
        <f t="shared" si="8"/>
        <v>-45</v>
      </c>
      <c r="N29" s="18">
        <f t="shared" si="8"/>
        <v>0</v>
      </c>
      <c r="O29" s="11">
        <f>SUM(C29:H29)</f>
        <v>-106.01829268292683</v>
      </c>
      <c r="P29" s="19">
        <f>O27/O28</f>
        <v>0.88265215707637878</v>
      </c>
    </row>
    <row r="30" spans="1:16" x14ac:dyDescent="0.2">
      <c r="A30" s="48" t="s">
        <v>30</v>
      </c>
      <c r="B30" s="49"/>
      <c r="C30" s="8">
        <v>97.83</v>
      </c>
      <c r="D30" s="8">
        <v>157.08000000000001</v>
      </c>
      <c r="E30" s="8">
        <v>167.75</v>
      </c>
      <c r="F30" s="8">
        <v>86.5</v>
      </c>
      <c r="G30" s="8">
        <v>122.5</v>
      </c>
      <c r="H30" s="8">
        <v>160.25</v>
      </c>
      <c r="I30" s="8">
        <v>77</v>
      </c>
      <c r="J30" s="8">
        <v>140.30000000000001</v>
      </c>
      <c r="K30" s="8">
        <v>169.5</v>
      </c>
      <c r="L30" s="8">
        <v>121</v>
      </c>
      <c r="M30" s="9">
        <v>138.80000000000001</v>
      </c>
      <c r="N30" s="10"/>
      <c r="O30" s="11">
        <f>SUM(C30:M30)</f>
        <v>1438.51</v>
      </c>
    </row>
    <row r="31" spans="1:16" x14ac:dyDescent="0.2">
      <c r="A31" s="12" t="s">
        <v>15</v>
      </c>
      <c r="B31" s="20"/>
      <c r="C31" s="15">
        <v>109.7560975609756</v>
      </c>
      <c r="D31" s="15">
        <v>104.26829268292684</v>
      </c>
      <c r="E31" s="15">
        <v>126.21951219512195</v>
      </c>
      <c r="F31" s="15">
        <v>93.292682926829272</v>
      </c>
      <c r="G31" s="15">
        <v>109.7560975609756</v>
      </c>
      <c r="H31" s="15">
        <v>120.73170731707317</v>
      </c>
      <c r="I31" s="15">
        <v>115</v>
      </c>
      <c r="J31" s="15">
        <v>121</v>
      </c>
      <c r="K31" s="15">
        <v>115</v>
      </c>
      <c r="L31" s="15">
        <v>115</v>
      </c>
      <c r="M31" s="16">
        <v>110</v>
      </c>
      <c r="N31" s="17"/>
      <c r="O31" s="11">
        <f>SUM(C31:M31)</f>
        <v>1240.0243902439024</v>
      </c>
    </row>
    <row r="32" spans="1:16" ht="24" x14ac:dyDescent="0.2">
      <c r="A32" s="12" t="s">
        <v>16</v>
      </c>
      <c r="B32" s="20"/>
      <c r="C32" s="18">
        <f>C30-C31</f>
        <v>-11.926097560975606</v>
      </c>
      <c r="D32" s="18">
        <f t="shared" ref="D32:N32" si="9">D30-D31</f>
        <v>52.811707317073171</v>
      </c>
      <c r="E32" s="18">
        <f t="shared" si="9"/>
        <v>41.530487804878049</v>
      </c>
      <c r="F32" s="18">
        <f t="shared" si="9"/>
        <v>-6.7926829268292721</v>
      </c>
      <c r="G32" s="18">
        <f t="shared" si="9"/>
        <v>12.743902439024396</v>
      </c>
      <c r="H32" s="18">
        <f t="shared" si="9"/>
        <v>39.518292682926827</v>
      </c>
      <c r="I32" s="18">
        <f t="shared" si="9"/>
        <v>-38</v>
      </c>
      <c r="J32" s="18">
        <f t="shared" si="9"/>
        <v>19.300000000000011</v>
      </c>
      <c r="K32" s="18">
        <f t="shared" si="9"/>
        <v>54.5</v>
      </c>
      <c r="L32" s="18">
        <f t="shared" si="9"/>
        <v>6</v>
      </c>
      <c r="M32" s="18">
        <f t="shared" si="9"/>
        <v>28.800000000000011</v>
      </c>
      <c r="N32" s="18">
        <f t="shared" si="9"/>
        <v>0</v>
      </c>
      <c r="O32" s="11">
        <f>SUM(C32:H32)</f>
        <v>127.88560975609757</v>
      </c>
      <c r="P32" s="19">
        <f>O30/O31</f>
        <v>1.1600658917015794</v>
      </c>
    </row>
    <row r="33" spans="1:16" x14ac:dyDescent="0.2">
      <c r="A33" s="48" t="s">
        <v>31</v>
      </c>
      <c r="B33" s="49"/>
      <c r="C33" s="8">
        <v>111</v>
      </c>
      <c r="D33" s="8">
        <v>81</v>
      </c>
      <c r="E33" s="8">
        <v>150</v>
      </c>
      <c r="F33" s="8">
        <v>145</v>
      </c>
      <c r="G33" s="8">
        <v>130</v>
      </c>
      <c r="H33" s="8">
        <v>72</v>
      </c>
      <c r="I33" s="8">
        <v>120</v>
      </c>
      <c r="J33" s="8">
        <v>72</v>
      </c>
      <c r="K33" s="8">
        <v>197</v>
      </c>
      <c r="L33" s="8">
        <v>123</v>
      </c>
      <c r="M33" s="9">
        <v>88</v>
      </c>
      <c r="N33" s="10"/>
      <c r="O33" s="11">
        <f>SUM(C33:M33)</f>
        <v>1289</v>
      </c>
    </row>
    <row r="34" spans="1:16" x14ac:dyDescent="0.2">
      <c r="A34" s="12" t="s">
        <v>15</v>
      </c>
      <c r="B34" s="20"/>
      <c r="C34" s="15">
        <v>109.7560975609756</v>
      </c>
      <c r="D34" s="15">
        <v>104.26829268292684</v>
      </c>
      <c r="E34" s="15">
        <v>126.21951219512195</v>
      </c>
      <c r="F34" s="15">
        <v>93.292682926829272</v>
      </c>
      <c r="G34" s="15">
        <v>109.7560975609756</v>
      </c>
      <c r="H34" s="15">
        <v>120.73170731707317</v>
      </c>
      <c r="I34" s="15">
        <v>104</v>
      </c>
      <c r="J34" s="15">
        <v>121</v>
      </c>
      <c r="K34" s="15">
        <v>115</v>
      </c>
      <c r="L34" s="15">
        <v>115</v>
      </c>
      <c r="M34" s="16">
        <v>110</v>
      </c>
      <c r="N34" s="17"/>
      <c r="O34" s="11">
        <f>SUM(C34:M34)</f>
        <v>1229.0243902439024</v>
      </c>
    </row>
    <row r="35" spans="1:16" ht="24" x14ac:dyDescent="0.2">
      <c r="A35" s="12" t="s">
        <v>16</v>
      </c>
      <c r="B35" s="20"/>
      <c r="C35" s="18">
        <f>C33-C34</f>
        <v>1.2439024390243958</v>
      </c>
      <c r="D35" s="18">
        <f t="shared" ref="D35:N35" si="10">D33-D34</f>
        <v>-23.268292682926841</v>
      </c>
      <c r="E35" s="18">
        <f t="shared" si="10"/>
        <v>23.780487804878049</v>
      </c>
      <c r="F35" s="18">
        <f t="shared" si="10"/>
        <v>51.707317073170728</v>
      </c>
      <c r="G35" s="18">
        <f t="shared" si="10"/>
        <v>20.243902439024396</v>
      </c>
      <c r="H35" s="18">
        <f t="shared" si="10"/>
        <v>-48.731707317073173</v>
      </c>
      <c r="I35" s="18">
        <f t="shared" si="10"/>
        <v>16</v>
      </c>
      <c r="J35" s="18">
        <f t="shared" si="10"/>
        <v>-49</v>
      </c>
      <c r="K35" s="18">
        <f t="shared" si="10"/>
        <v>82</v>
      </c>
      <c r="L35" s="18">
        <f t="shared" si="10"/>
        <v>8</v>
      </c>
      <c r="M35" s="18">
        <f t="shared" si="10"/>
        <v>-22</v>
      </c>
      <c r="N35" s="18">
        <f t="shared" si="10"/>
        <v>0</v>
      </c>
      <c r="O35" s="11">
        <f>SUM(C35:H35)</f>
        <v>24.975609756097555</v>
      </c>
      <c r="P35" s="19">
        <f>O33/O34</f>
        <v>1.0487993649533638</v>
      </c>
    </row>
    <row r="36" spans="1:16" x14ac:dyDescent="0.2">
      <c r="A36" s="48" t="s">
        <v>32</v>
      </c>
      <c r="B36" s="49"/>
      <c r="C36" s="8">
        <v>84.5</v>
      </c>
      <c r="D36" s="8">
        <v>124</v>
      </c>
      <c r="E36" s="8">
        <v>26</v>
      </c>
      <c r="F36" s="8">
        <v>82.75</v>
      </c>
      <c r="G36" s="8">
        <v>44</v>
      </c>
      <c r="H36" s="8">
        <v>109</v>
      </c>
      <c r="I36" s="8">
        <v>75</v>
      </c>
      <c r="J36" s="8">
        <v>88.3</v>
      </c>
      <c r="K36" s="8">
        <v>156</v>
      </c>
      <c r="L36" s="8">
        <v>114</v>
      </c>
      <c r="M36" s="9">
        <v>99.3</v>
      </c>
      <c r="N36" s="10"/>
      <c r="O36" s="11">
        <f>SUM(C36:M36)</f>
        <v>1002.8499999999999</v>
      </c>
    </row>
    <row r="37" spans="1:16" x14ac:dyDescent="0.2">
      <c r="A37" s="12" t="s">
        <v>15</v>
      </c>
      <c r="B37" s="20"/>
      <c r="C37" s="15">
        <v>71.341463414634148</v>
      </c>
      <c r="D37" s="15">
        <v>67.774390243902445</v>
      </c>
      <c r="E37" s="15">
        <v>82.042682926829272</v>
      </c>
      <c r="F37" s="15">
        <v>60.640243902439032</v>
      </c>
      <c r="G37" s="15">
        <v>71.341463414634148</v>
      </c>
      <c r="H37" s="15">
        <v>78.475609756097569</v>
      </c>
      <c r="I37" s="15">
        <v>75</v>
      </c>
      <c r="J37" s="15">
        <v>78</v>
      </c>
      <c r="K37" s="15">
        <v>75</v>
      </c>
      <c r="L37" s="15">
        <v>75</v>
      </c>
      <c r="M37" s="16">
        <v>71</v>
      </c>
      <c r="N37" s="17"/>
      <c r="O37" s="11">
        <f>SUM(C37:M37)</f>
        <v>805.61585365853659</v>
      </c>
    </row>
    <row r="38" spans="1:16" ht="24" x14ac:dyDescent="0.2">
      <c r="A38" s="12" t="s">
        <v>16</v>
      </c>
      <c r="B38" s="20"/>
      <c r="C38" s="18">
        <f>C36-C37</f>
        <v>13.158536585365852</v>
      </c>
      <c r="D38" s="18">
        <f t="shared" ref="D38:N38" si="11">D36-D37</f>
        <v>56.225609756097555</v>
      </c>
      <c r="E38" s="18">
        <f t="shared" si="11"/>
        <v>-56.042682926829272</v>
      </c>
      <c r="F38" s="18">
        <f t="shared" si="11"/>
        <v>22.109756097560968</v>
      </c>
      <c r="G38" s="18">
        <f t="shared" si="11"/>
        <v>-27.341463414634148</v>
      </c>
      <c r="H38" s="18">
        <f t="shared" si="11"/>
        <v>30.524390243902431</v>
      </c>
      <c r="I38" s="18">
        <f t="shared" si="11"/>
        <v>0</v>
      </c>
      <c r="J38" s="18">
        <f t="shared" si="11"/>
        <v>10.299999999999997</v>
      </c>
      <c r="K38" s="18">
        <f t="shared" si="11"/>
        <v>81</v>
      </c>
      <c r="L38" s="18">
        <f t="shared" si="11"/>
        <v>39</v>
      </c>
      <c r="M38" s="18">
        <f t="shared" si="11"/>
        <v>28.299999999999997</v>
      </c>
      <c r="N38" s="18">
        <f t="shared" si="11"/>
        <v>0</v>
      </c>
      <c r="O38" s="11">
        <f>SUM(C38:H38)</f>
        <v>38.634146341463385</v>
      </c>
      <c r="P38" s="19">
        <f>O36/O37</f>
        <v>1.2448240627909264</v>
      </c>
    </row>
    <row r="39" spans="1:16" x14ac:dyDescent="0.2">
      <c r="A39" s="48" t="s">
        <v>33</v>
      </c>
      <c r="B39" s="49"/>
      <c r="C39" s="8">
        <v>30</v>
      </c>
      <c r="D39" s="8">
        <v>138</v>
      </c>
      <c r="E39" s="8">
        <v>159</v>
      </c>
      <c r="F39" s="8">
        <v>46</v>
      </c>
      <c r="G39" s="8">
        <v>25</v>
      </c>
      <c r="H39" s="8">
        <v>53</v>
      </c>
      <c r="I39" s="8">
        <v>79</v>
      </c>
      <c r="J39" s="8">
        <v>99.5</v>
      </c>
      <c r="K39" s="8">
        <v>129.5</v>
      </c>
      <c r="L39" s="8">
        <v>56</v>
      </c>
      <c r="M39" s="9">
        <v>93</v>
      </c>
      <c r="N39" s="10"/>
      <c r="O39" s="11">
        <f>SUM(C39:M39)</f>
        <v>908</v>
      </c>
    </row>
    <row r="40" spans="1:16" x14ac:dyDescent="0.2">
      <c r="A40" s="12" t="s">
        <v>15</v>
      </c>
      <c r="B40" s="20"/>
      <c r="C40" s="15">
        <v>109.7560975609756</v>
      </c>
      <c r="D40" s="15">
        <v>104.26829268292684</v>
      </c>
      <c r="E40" s="15">
        <v>126.21951219512195</v>
      </c>
      <c r="F40" s="15">
        <v>93.292682926829272</v>
      </c>
      <c r="G40" s="15">
        <v>109.7560975609756</v>
      </c>
      <c r="H40" s="15">
        <v>120.73170731707317</v>
      </c>
      <c r="I40" s="15">
        <v>86</v>
      </c>
      <c r="J40" s="15">
        <v>121</v>
      </c>
      <c r="K40" s="15">
        <v>115</v>
      </c>
      <c r="L40" s="15">
        <v>115</v>
      </c>
      <c r="M40" s="16">
        <v>110</v>
      </c>
      <c r="N40" s="17"/>
      <c r="O40" s="11">
        <f>SUM(C40:M40)</f>
        <v>1211.0243902439024</v>
      </c>
    </row>
    <row r="41" spans="1:16" ht="24" x14ac:dyDescent="0.2">
      <c r="A41" s="12" t="s">
        <v>16</v>
      </c>
      <c r="B41" s="20"/>
      <c r="C41" s="18">
        <f>C39-C40</f>
        <v>-79.756097560975604</v>
      </c>
      <c r="D41" s="18">
        <f t="shared" ref="D41:N41" si="12">D39-D40</f>
        <v>33.731707317073159</v>
      </c>
      <c r="E41" s="18">
        <f t="shared" si="12"/>
        <v>32.780487804878049</v>
      </c>
      <c r="F41" s="18">
        <f t="shared" si="12"/>
        <v>-47.292682926829272</v>
      </c>
      <c r="G41" s="18">
        <f t="shared" si="12"/>
        <v>-84.756097560975604</v>
      </c>
      <c r="H41" s="18">
        <f t="shared" si="12"/>
        <v>-67.731707317073173</v>
      </c>
      <c r="I41" s="18">
        <f t="shared" si="12"/>
        <v>-7</v>
      </c>
      <c r="J41" s="18">
        <f t="shared" si="12"/>
        <v>-21.5</v>
      </c>
      <c r="K41" s="18">
        <f t="shared" si="12"/>
        <v>14.5</v>
      </c>
      <c r="L41" s="18">
        <f t="shared" si="12"/>
        <v>-59</v>
      </c>
      <c r="M41" s="18">
        <f t="shared" si="12"/>
        <v>-17</v>
      </c>
      <c r="N41" s="18">
        <f t="shared" si="12"/>
        <v>0</v>
      </c>
      <c r="O41" s="11">
        <f>SUM(C41:H41)</f>
        <v>-213.02439024390247</v>
      </c>
      <c r="P41" s="19">
        <f>O39/O40</f>
        <v>0.74977845806815435</v>
      </c>
    </row>
    <row r="42" spans="1:16" x14ac:dyDescent="0.2">
      <c r="A42" s="48" t="s">
        <v>34</v>
      </c>
      <c r="B42" s="49"/>
      <c r="C42" s="8">
        <v>107.75</v>
      </c>
      <c r="D42" s="8">
        <v>89.25</v>
      </c>
      <c r="E42" s="8">
        <v>50</v>
      </c>
      <c r="F42" s="8">
        <v>78.5</v>
      </c>
      <c r="G42" s="8">
        <v>65</v>
      </c>
      <c r="H42" s="21">
        <v>123</v>
      </c>
      <c r="I42" s="21">
        <v>74</v>
      </c>
      <c r="J42" s="21">
        <v>56.5</v>
      </c>
      <c r="K42" s="21">
        <v>127</v>
      </c>
      <c r="L42" s="21">
        <v>100.5</v>
      </c>
      <c r="M42" s="22">
        <v>87.5</v>
      </c>
      <c r="N42" s="23"/>
      <c r="O42" s="11">
        <f>SUM(C42:M42)</f>
        <v>959</v>
      </c>
    </row>
    <row r="43" spans="1:16" x14ac:dyDescent="0.2">
      <c r="A43" s="12" t="s">
        <v>15</v>
      </c>
      <c r="B43" s="20"/>
      <c r="C43" s="15">
        <v>109.7560975609756</v>
      </c>
      <c r="D43" s="15">
        <v>104.26829268292684</v>
      </c>
      <c r="E43" s="15">
        <v>126.21951219512195</v>
      </c>
      <c r="F43" s="15">
        <v>93.292682926829272</v>
      </c>
      <c r="G43" s="15">
        <v>109.7560975609756</v>
      </c>
      <c r="H43" s="24">
        <v>120.73170731707317</v>
      </c>
      <c r="I43" s="24">
        <v>115</v>
      </c>
      <c r="J43" s="24">
        <v>121</v>
      </c>
      <c r="K43" s="24">
        <v>115</v>
      </c>
      <c r="L43" s="24">
        <v>115</v>
      </c>
      <c r="M43" s="25">
        <v>110</v>
      </c>
      <c r="N43" s="26"/>
      <c r="O43" s="11">
        <f>SUM(C43:M43)</f>
        <v>1240.0243902439024</v>
      </c>
    </row>
    <row r="44" spans="1:16" ht="24" x14ac:dyDescent="0.2">
      <c r="A44" s="12" t="s">
        <v>16</v>
      </c>
      <c r="B44" s="20"/>
      <c r="C44" s="18">
        <f>C42-C43</f>
        <v>-2.0060975609756042</v>
      </c>
      <c r="D44" s="18">
        <f t="shared" ref="D44:N44" si="13">D42-D43</f>
        <v>-15.018292682926841</v>
      </c>
      <c r="E44" s="18">
        <f t="shared" si="13"/>
        <v>-76.219512195121951</v>
      </c>
      <c r="F44" s="18">
        <f t="shared" si="13"/>
        <v>-14.792682926829272</v>
      </c>
      <c r="G44" s="18">
        <f t="shared" si="13"/>
        <v>-44.756097560975604</v>
      </c>
      <c r="H44" s="18">
        <f t="shared" si="13"/>
        <v>2.2682926829268268</v>
      </c>
      <c r="I44" s="18">
        <f t="shared" si="13"/>
        <v>-41</v>
      </c>
      <c r="J44" s="18">
        <f t="shared" si="13"/>
        <v>-64.5</v>
      </c>
      <c r="K44" s="18">
        <f t="shared" si="13"/>
        <v>12</v>
      </c>
      <c r="L44" s="18">
        <f t="shared" si="13"/>
        <v>-14.5</v>
      </c>
      <c r="M44" s="18">
        <f t="shared" si="13"/>
        <v>-22.5</v>
      </c>
      <c r="N44" s="18">
        <f t="shared" si="13"/>
        <v>0</v>
      </c>
      <c r="O44" s="11">
        <f>SUM(C44:H44)</f>
        <v>-150.52439024390247</v>
      </c>
      <c r="P44" s="19">
        <f>O42/O43</f>
        <v>0.77337188489604847</v>
      </c>
    </row>
    <row r="45" spans="1:16" x14ac:dyDescent="0.2">
      <c r="A45" s="48" t="s">
        <v>35</v>
      </c>
      <c r="B45" s="49"/>
      <c r="C45" s="8">
        <v>5.75</v>
      </c>
      <c r="D45" s="8">
        <v>58.5</v>
      </c>
      <c r="E45" s="8">
        <v>42.25</v>
      </c>
      <c r="F45" s="8">
        <v>97</v>
      </c>
      <c r="G45" s="8">
        <v>97</v>
      </c>
      <c r="H45" s="8">
        <v>127.5</v>
      </c>
      <c r="I45" s="8">
        <v>63</v>
      </c>
      <c r="J45" s="8">
        <v>141</v>
      </c>
      <c r="K45" s="8">
        <v>241.3</v>
      </c>
      <c r="L45" s="8">
        <v>93.8</v>
      </c>
      <c r="M45" s="9">
        <v>119.5</v>
      </c>
      <c r="N45" s="10"/>
      <c r="O45" s="11">
        <f>SUM(C45:M45)</f>
        <v>1086.5999999999999</v>
      </c>
    </row>
    <row r="46" spans="1:16" x14ac:dyDescent="0.2">
      <c r="A46" s="12" t="s">
        <v>15</v>
      </c>
      <c r="B46" s="20"/>
      <c r="C46" s="15">
        <v>109.7560975609756</v>
      </c>
      <c r="D46" s="15">
        <v>104.26829268292684</v>
      </c>
      <c r="E46" s="15">
        <v>126.21951219512195</v>
      </c>
      <c r="F46" s="15">
        <v>93.292682926829272</v>
      </c>
      <c r="G46" s="15">
        <v>109.7560975609756</v>
      </c>
      <c r="H46" s="15">
        <v>120.73170731707317</v>
      </c>
      <c r="I46" s="15">
        <v>86</v>
      </c>
      <c r="J46" s="15">
        <v>121</v>
      </c>
      <c r="K46" s="15">
        <v>115</v>
      </c>
      <c r="L46" s="15">
        <v>115</v>
      </c>
      <c r="M46" s="16">
        <v>110</v>
      </c>
      <c r="N46" s="17"/>
      <c r="O46" s="11">
        <f>SUM(C46:M46)</f>
        <v>1211.0243902439024</v>
      </c>
    </row>
    <row r="47" spans="1:16" ht="24" x14ac:dyDescent="0.2">
      <c r="A47" s="12" t="s">
        <v>16</v>
      </c>
      <c r="B47" s="20"/>
      <c r="C47" s="18">
        <f>C45-C46</f>
        <v>-104.0060975609756</v>
      </c>
      <c r="D47" s="18">
        <f t="shared" ref="D47:I47" si="14">D45-D46</f>
        <v>-45.768292682926841</v>
      </c>
      <c r="E47" s="18">
        <f t="shared" si="14"/>
        <v>-83.969512195121951</v>
      </c>
      <c r="F47" s="18">
        <f t="shared" si="14"/>
        <v>3.7073170731707279</v>
      </c>
      <c r="G47" s="18">
        <f t="shared" si="14"/>
        <v>-12.756097560975604</v>
      </c>
      <c r="H47" s="18">
        <f t="shared" si="14"/>
        <v>6.7682926829268268</v>
      </c>
      <c r="I47" s="18">
        <f t="shared" si="14"/>
        <v>-23</v>
      </c>
      <c r="J47" s="18">
        <f>J45-J46</f>
        <v>20</v>
      </c>
      <c r="K47" s="18">
        <f t="shared" ref="K47:N47" si="15">K45-K46</f>
        <v>126.30000000000001</v>
      </c>
      <c r="L47" s="18">
        <f t="shared" si="15"/>
        <v>-21.200000000000003</v>
      </c>
      <c r="M47" s="18">
        <f t="shared" si="15"/>
        <v>9.5</v>
      </c>
      <c r="N47" s="18">
        <f t="shared" si="15"/>
        <v>0</v>
      </c>
      <c r="O47" s="11">
        <f>SUM(C47:H47)</f>
        <v>-236.02439024390247</v>
      </c>
      <c r="P47" s="19">
        <f>O45/O46</f>
        <v>0.89725690808023839</v>
      </c>
    </row>
    <row r="48" spans="1:16" x14ac:dyDescent="0.2">
      <c r="A48" s="48" t="s">
        <v>36</v>
      </c>
      <c r="B48" s="49"/>
      <c r="C48" s="8">
        <v>0</v>
      </c>
      <c r="D48" s="8">
        <v>0</v>
      </c>
      <c r="E48" s="21"/>
      <c r="F48" s="21"/>
      <c r="G48" s="8">
        <v>12</v>
      </c>
      <c r="H48" s="8">
        <v>0</v>
      </c>
      <c r="I48" s="8">
        <v>54</v>
      </c>
      <c r="J48" s="8">
        <v>43</v>
      </c>
      <c r="K48" s="8">
        <v>63</v>
      </c>
      <c r="L48" s="8">
        <v>47</v>
      </c>
      <c r="M48" s="9">
        <v>89</v>
      </c>
      <c r="N48" s="10"/>
    </row>
    <row r="49" spans="1:16" x14ac:dyDescent="0.2">
      <c r="A49" s="12" t="s">
        <v>15</v>
      </c>
      <c r="B49" s="20"/>
      <c r="C49" s="15"/>
      <c r="D49" s="15"/>
      <c r="E49" s="24"/>
      <c r="F49" s="24"/>
      <c r="G49" s="15"/>
      <c r="H49" s="15"/>
      <c r="I49" s="15">
        <v>86</v>
      </c>
      <c r="J49" s="15">
        <v>91</v>
      </c>
      <c r="K49" s="15">
        <v>86</v>
      </c>
      <c r="L49" s="15">
        <v>86</v>
      </c>
      <c r="M49" s="16">
        <v>82</v>
      </c>
      <c r="N49" s="17"/>
    </row>
    <row r="50" spans="1:16" ht="24" x14ac:dyDescent="0.2">
      <c r="A50" s="12" t="s">
        <v>16</v>
      </c>
      <c r="B50" s="20"/>
      <c r="C50" s="27"/>
      <c r="D50" s="27"/>
      <c r="E50" s="28"/>
      <c r="F50" s="28"/>
      <c r="G50" s="27"/>
      <c r="H50" s="27"/>
      <c r="I50" s="18">
        <f>I48-I49</f>
        <v>-32</v>
      </c>
      <c r="J50" s="18">
        <f>J48-J49</f>
        <v>-48</v>
      </c>
      <c r="K50" s="18">
        <f t="shared" ref="K50:N50" si="16">K48-K49</f>
        <v>-23</v>
      </c>
      <c r="L50" s="18">
        <f t="shared" si="16"/>
        <v>-39</v>
      </c>
      <c r="M50" s="18">
        <f t="shared" si="16"/>
        <v>7</v>
      </c>
      <c r="N50" s="18">
        <f t="shared" si="16"/>
        <v>0</v>
      </c>
    </row>
    <row r="51" spans="1:16" x14ac:dyDescent="0.2">
      <c r="A51" s="48" t="s">
        <v>37</v>
      </c>
      <c r="B51" s="49"/>
      <c r="C51" s="8">
        <v>0</v>
      </c>
      <c r="D51" s="8">
        <v>0</v>
      </c>
      <c r="E51" s="21"/>
      <c r="F51" s="21"/>
      <c r="G51" s="21"/>
      <c r="H51" s="8">
        <v>0</v>
      </c>
      <c r="I51" s="8">
        <v>0</v>
      </c>
      <c r="J51" s="8">
        <v>0</v>
      </c>
      <c r="K51" s="8">
        <v>0</v>
      </c>
      <c r="L51" s="8">
        <v>20</v>
      </c>
      <c r="M51" s="9">
        <v>-20</v>
      </c>
      <c r="N51" s="10"/>
    </row>
    <row r="52" spans="1:16" x14ac:dyDescent="0.2">
      <c r="A52" s="12" t="s">
        <v>15</v>
      </c>
      <c r="B52" s="20"/>
      <c r="C52" s="15"/>
      <c r="D52" s="15"/>
      <c r="E52" s="24"/>
      <c r="F52" s="24"/>
      <c r="G52" s="24"/>
      <c r="H52" s="15"/>
      <c r="I52" s="15"/>
      <c r="J52" s="15">
        <v>0</v>
      </c>
      <c r="K52" s="15">
        <v>115</v>
      </c>
      <c r="L52" s="15">
        <v>115</v>
      </c>
      <c r="M52" s="16">
        <v>110</v>
      </c>
      <c r="N52" s="17"/>
    </row>
    <row r="53" spans="1:16" ht="24" x14ac:dyDescent="0.2">
      <c r="A53" s="12" t="s">
        <v>16</v>
      </c>
      <c r="B53" s="20"/>
      <c r="C53" s="18"/>
      <c r="D53" s="18"/>
      <c r="E53" s="29"/>
      <c r="F53" s="29"/>
      <c r="G53" s="29"/>
      <c r="H53" s="18"/>
      <c r="I53" s="18"/>
      <c r="J53" s="18"/>
      <c r="K53" s="18">
        <f>K51-K52</f>
        <v>-115</v>
      </c>
      <c r="L53" s="18">
        <f>L51-L52</f>
        <v>-95</v>
      </c>
      <c r="M53" s="18">
        <f t="shared" ref="M53:N53" si="17">M51-M52</f>
        <v>-130</v>
      </c>
      <c r="N53" s="18">
        <f t="shared" si="17"/>
        <v>0</v>
      </c>
    </row>
    <row r="54" spans="1:16" x14ac:dyDescent="0.2">
      <c r="A54" s="48" t="s">
        <v>38</v>
      </c>
      <c r="B54" s="49"/>
      <c r="C54" s="8">
        <v>44</v>
      </c>
      <c r="D54" s="8">
        <v>21</v>
      </c>
      <c r="E54" s="8">
        <v>96</v>
      </c>
      <c r="F54" s="8">
        <v>59</v>
      </c>
      <c r="G54" s="8">
        <v>67</v>
      </c>
      <c r="H54" s="8">
        <v>34</v>
      </c>
      <c r="I54" s="8">
        <v>33</v>
      </c>
      <c r="J54" s="8">
        <v>80</v>
      </c>
      <c r="K54" s="8">
        <v>67</v>
      </c>
      <c r="L54" s="8">
        <v>53</v>
      </c>
      <c r="M54" s="9">
        <v>31</v>
      </c>
      <c r="N54" s="10"/>
      <c r="O54" s="11">
        <f>SUM(C54:M54)</f>
        <v>585</v>
      </c>
    </row>
    <row r="55" spans="1:16" x14ac:dyDescent="0.2">
      <c r="A55" s="12" t="s">
        <v>15</v>
      </c>
      <c r="B55" s="14"/>
      <c r="C55" s="15">
        <v>55</v>
      </c>
      <c r="D55" s="15">
        <v>52</v>
      </c>
      <c r="E55" s="15">
        <v>63</v>
      </c>
      <c r="F55" s="15">
        <v>47</v>
      </c>
      <c r="G55" s="15">
        <v>55</v>
      </c>
      <c r="H55" s="15">
        <v>60</v>
      </c>
      <c r="I55" s="15">
        <v>58</v>
      </c>
      <c r="J55" s="15">
        <v>60</v>
      </c>
      <c r="K55" s="15">
        <v>58</v>
      </c>
      <c r="L55" s="15">
        <v>58</v>
      </c>
      <c r="M55" s="16">
        <v>55</v>
      </c>
      <c r="N55" s="17"/>
      <c r="O55" s="11">
        <f>SUM(C55:M55)</f>
        <v>621</v>
      </c>
    </row>
    <row r="56" spans="1:16" ht="24" x14ac:dyDescent="0.2">
      <c r="A56" s="12" t="s">
        <v>16</v>
      </c>
      <c r="B56" s="14"/>
      <c r="C56" s="18">
        <f>C54-C55</f>
        <v>-11</v>
      </c>
      <c r="D56" s="18">
        <f t="shared" ref="D56:N56" si="18">D54-D55</f>
        <v>-31</v>
      </c>
      <c r="E56" s="18">
        <f t="shared" si="18"/>
        <v>33</v>
      </c>
      <c r="F56" s="18">
        <f t="shared" si="18"/>
        <v>12</v>
      </c>
      <c r="G56" s="18">
        <f t="shared" si="18"/>
        <v>12</v>
      </c>
      <c r="H56" s="18">
        <f t="shared" si="18"/>
        <v>-26</v>
      </c>
      <c r="I56" s="18">
        <f t="shared" si="18"/>
        <v>-25</v>
      </c>
      <c r="J56" s="18">
        <f t="shared" si="18"/>
        <v>20</v>
      </c>
      <c r="K56" s="18">
        <f t="shared" si="18"/>
        <v>9</v>
      </c>
      <c r="L56" s="18">
        <f t="shared" si="18"/>
        <v>-5</v>
      </c>
      <c r="M56" s="18">
        <f t="shared" si="18"/>
        <v>-24</v>
      </c>
      <c r="N56" s="18">
        <f t="shared" si="18"/>
        <v>0</v>
      </c>
      <c r="O56" s="11">
        <f>SUM(C56:H56)</f>
        <v>-11</v>
      </c>
      <c r="P56" s="19">
        <f>O54/O55</f>
        <v>0.94202898550724634</v>
      </c>
    </row>
    <row r="57" spans="1:16" x14ac:dyDescent="0.2">
      <c r="A57" s="48" t="s">
        <v>39</v>
      </c>
      <c r="B57" s="49"/>
      <c r="C57" s="30"/>
      <c r="D57" s="30"/>
      <c r="E57" s="30"/>
      <c r="F57" s="30"/>
      <c r="G57" s="30"/>
      <c r="H57" s="30"/>
      <c r="I57" s="30"/>
      <c r="J57" s="30">
        <v>0</v>
      </c>
      <c r="K57" s="30">
        <v>0</v>
      </c>
      <c r="L57" s="30"/>
      <c r="M57" s="31">
        <v>0</v>
      </c>
      <c r="N57" s="32"/>
      <c r="O57" s="11"/>
      <c r="P57" s="33"/>
    </row>
    <row r="58" spans="1:16" x14ac:dyDescent="0.2">
      <c r="A58" s="12" t="s">
        <v>15</v>
      </c>
      <c r="B58" s="14"/>
      <c r="C58" s="18"/>
      <c r="D58" s="18"/>
      <c r="E58" s="18"/>
      <c r="F58" s="18"/>
      <c r="G58" s="18"/>
      <c r="H58" s="18"/>
      <c r="I58" s="18"/>
      <c r="J58" s="18">
        <v>0</v>
      </c>
      <c r="K58" s="18">
        <v>0</v>
      </c>
      <c r="L58" s="18">
        <v>0</v>
      </c>
      <c r="M58" s="34"/>
      <c r="N58" s="35"/>
      <c r="O58" s="11"/>
      <c r="P58" s="33"/>
    </row>
    <row r="59" spans="1:16" ht="25" thickBot="1" x14ac:dyDescent="0.25">
      <c r="A59" s="36" t="s">
        <v>16</v>
      </c>
      <c r="B59" s="37"/>
      <c r="C59" s="38"/>
      <c r="D59" s="38"/>
      <c r="E59" s="38"/>
      <c r="F59" s="38"/>
      <c r="G59" s="38"/>
      <c r="H59" s="38"/>
      <c r="I59" s="38"/>
      <c r="J59" s="39"/>
      <c r="K59" s="39"/>
      <c r="L59" s="39"/>
      <c r="M59" s="40"/>
      <c r="N59" s="35"/>
      <c r="O59" s="11"/>
      <c r="P59" s="33"/>
    </row>
    <row r="60" spans="1:16" x14ac:dyDescent="0.2">
      <c r="O60" s="11"/>
    </row>
    <row r="61" spans="1:16" x14ac:dyDescent="0.2">
      <c r="A61" s="41" t="s">
        <v>17</v>
      </c>
      <c r="B61" s="41" t="s">
        <v>18</v>
      </c>
      <c r="C61" s="42">
        <f>SUM(C3,C6,C9,C12,C15,C18,C21,C24,C27,C30,,C33,C36,C39,C42,C45,C48,C51,C54)</f>
        <v>1127.08</v>
      </c>
      <c r="D61" s="42">
        <f>SUM(D3,D6,D9,D12,D15,D18,D21,D24,D27,D30,,D33,D36,D39,D42,D45,D48,D51,D54)</f>
        <v>1674.83</v>
      </c>
      <c r="E61" s="42">
        <f>SUM(E3,E6,E9,E12,E15,E18,E21,E24,E27,E30,,E33,E36,E39,E42,E45,E48,E51,E54)</f>
        <v>1718.1</v>
      </c>
      <c r="F61" s="42">
        <f>SUM(F3,F6,F9,F12,F15,F18,F21,F24,F27,F30,,F33,F36,F39,F42,F45,F48,F51,F54)</f>
        <v>1290</v>
      </c>
      <c r="G61" s="42">
        <f>SUM(G3,G6,G9,G12,G15,G18,G21,G24,G27,G30,,G33,G36,G39,G42,G45,G48,G51,G54)</f>
        <v>1427.25</v>
      </c>
      <c r="H61" s="42">
        <f>SUM(H3,H6,H9,H12,H15,H18,H21,H24,H27,H30,,H33,H36,H39,H42,H45,H48,H51,H54)</f>
        <v>1820.9</v>
      </c>
      <c r="I61" s="42">
        <f>SUM(I3,I6,I9,I12,I15,I18,I21,I24,I27,I30,,I33,I36,I39,I42,I45,I48,I51,I54)</f>
        <v>1552</v>
      </c>
      <c r="J61" s="42">
        <f>SUM(J3,J6,J9,J12,J15,J18,J21,J24,J27,J30,,J33,J36,J39,J42,J45,J48,J51,J54)</f>
        <v>1829.1999999999998</v>
      </c>
      <c r="K61" s="42">
        <f>SUM(K3,K6,K9,K12,K15,K18,K21,K24,K27,K30,,K33,K36,K39,K42,K45,K48,K51,K54)</f>
        <v>2395.6</v>
      </c>
      <c r="L61" s="42">
        <f>SUM(L3,L6,L9,L12,L15,L18,L21,L24,L27,L30,,L33,L36,L39,L42,L45,L48,L51,L54)</f>
        <v>1740.3</v>
      </c>
      <c r="M61" s="42">
        <f>SUM(M3,M6,M9,M12,M15,M18,M21,M24,M27,M30,,M33,M36,M39,M42,M45,M48,M51,M54)</f>
        <v>1534.8999999999999</v>
      </c>
      <c r="N61" s="42"/>
      <c r="O61" s="42">
        <f>SUM(C61:M61)</f>
        <v>18110.160000000003</v>
      </c>
      <c r="P61" s="41"/>
    </row>
    <row r="62" spans="1:16" x14ac:dyDescent="0.2">
      <c r="A62" s="41"/>
      <c r="B62" s="41" t="s">
        <v>19</v>
      </c>
      <c r="C62" s="42">
        <f>SUM(C4,C7,C10,C13,C16,C19,C22,C25,C28,C31,C34,C37,C40,C43,C46,C49,C52,C55)</f>
        <v>1598.1951219512193</v>
      </c>
      <c r="D62" s="42">
        <f>SUM(D4,D7,D10,D13,D16,D19,D22,D25,D28,D31,D34,D37,D40,D43,D46,D49,D52,D55)</f>
        <v>1515.5853658536585</v>
      </c>
      <c r="E62" s="42">
        <f>SUM(E4,E7,E10,E13,E16,E19,E22,E25,E28,E31,E34,E37,E40,E43,E46,E49,E52,E55)</f>
        <v>1836.0243902439026</v>
      </c>
      <c r="F62" s="42">
        <f>SUM(F4,F7,F10,F13,F16,F19,F22,F25,F28,F31,F34,F37,F40,F43,F46,F49,F52,F55)</f>
        <v>1356.3658536585365</v>
      </c>
      <c r="G62" s="42">
        <f>SUM(G4,G7,G10,G13,G16,G19,G22,G25,G28,G31,G34,G37,G40,G43,G46,G49,G52,G55)</f>
        <v>1598.1951219512193</v>
      </c>
      <c r="H62" s="42">
        <f>SUM(H4,H7,H10,H13,H16,H19,H22,H25,H28,H31,H34,H37,H40,H43,H46,H49,H52,H55)</f>
        <v>1758.4146341463415</v>
      </c>
      <c r="I62" s="42">
        <f>SUM(I4,I7,I10,I13,I16,I19,I22,I25,I28,I31,I34,I37,I40,I43,I46,I49,I52,I55)</f>
        <v>1662</v>
      </c>
      <c r="J62" s="42">
        <f>SUM(J4,J7,J10,J13,J16,J19,J22,J25,J28,J31,J34,J37,J40,J43,J46,J49,J52,J55)</f>
        <v>1851</v>
      </c>
      <c r="K62" s="42">
        <f>SUM(K4,K7,K10,K13,K16,K19,K22,K25,K28,K31,K34,K37,K40,K43,K46,K49,K52,K55)</f>
        <v>1875</v>
      </c>
      <c r="L62" s="42">
        <f>SUM(L4,L7,L10,L13,L16,L19,L22,L25,L28,L31,L34,L37,L40,L43,L46,L49,L52,L55)</f>
        <v>1875</v>
      </c>
      <c r="M62" s="42">
        <f>SUM(M4,M7,M10,M13,M16,M19,M22,M25,M28,M31,M34,M37,M40,M43,M46,M49,M52,M55)</f>
        <v>1791</v>
      </c>
      <c r="N62" s="42"/>
      <c r="O62" s="42">
        <f>SUM(C62:M62)</f>
        <v>18716.780487804877</v>
      </c>
      <c r="P62" s="41"/>
    </row>
    <row r="63" spans="1:16" x14ac:dyDescent="0.2">
      <c r="A63" s="41"/>
      <c r="B63" s="41" t="s">
        <v>20</v>
      </c>
      <c r="C63" s="43">
        <f>C61-C62</f>
        <v>-471.11512195121941</v>
      </c>
      <c r="D63" s="43">
        <f t="shared" ref="D63:G63" si="19">D61-D62</f>
        <v>159.24463414634147</v>
      </c>
      <c r="E63" s="43">
        <f>E61-E62</f>
        <v>-117.92439024390274</v>
      </c>
      <c r="F63" s="43">
        <f t="shared" si="19"/>
        <v>-66.36585365853648</v>
      </c>
      <c r="G63" s="43">
        <f t="shared" si="19"/>
        <v>-170.94512195121933</v>
      </c>
      <c r="H63" s="43">
        <f t="shared" ref="H63:M63" si="20">H61-H62</f>
        <v>62.48536585365855</v>
      </c>
      <c r="I63" s="43">
        <f t="shared" si="20"/>
        <v>-110</v>
      </c>
      <c r="J63" s="43">
        <f t="shared" si="20"/>
        <v>-21.800000000000182</v>
      </c>
      <c r="K63" s="43">
        <f t="shared" si="20"/>
        <v>520.59999999999991</v>
      </c>
      <c r="L63" s="43">
        <f t="shared" si="20"/>
        <v>-134.70000000000005</v>
      </c>
      <c r="M63" s="43">
        <f t="shared" si="20"/>
        <v>-256.10000000000014</v>
      </c>
      <c r="N63" s="43"/>
      <c r="O63" s="43">
        <f>SUM(C63:K63)</f>
        <v>-215.82048780487821</v>
      </c>
      <c r="P63" s="44">
        <f>O61/O62</f>
        <v>0.96758948537115541</v>
      </c>
    </row>
    <row r="64" spans="1:16" x14ac:dyDescent="0.2">
      <c r="A64" s="41"/>
      <c r="B64" s="41" t="s">
        <v>40</v>
      </c>
      <c r="C64" s="45">
        <f>C61/C62</f>
        <v>0.70522052315111561</v>
      </c>
      <c r="D64" s="45">
        <f t="shared" ref="D64:G64" si="21">D61/D62</f>
        <v>1.1050713722460934</v>
      </c>
      <c r="E64" s="45">
        <f>E61/E62</f>
        <v>0.93577188251391508</v>
      </c>
      <c r="F64" s="45">
        <f t="shared" si="21"/>
        <v>0.9510708313103523</v>
      </c>
      <c r="G64" s="45">
        <f t="shared" si="21"/>
        <v>0.89303864115007792</v>
      </c>
      <c r="H64" s="45">
        <f t="shared" ref="H64:M64" si="22">H61/H62</f>
        <v>1.0355350579097025</v>
      </c>
      <c r="I64" s="45">
        <f t="shared" si="22"/>
        <v>0.93381468110709986</v>
      </c>
      <c r="J64" s="45">
        <f t="shared" si="22"/>
        <v>0.98822258238789829</v>
      </c>
      <c r="K64" s="45">
        <f t="shared" si="22"/>
        <v>1.2776533333333333</v>
      </c>
      <c r="L64" s="45">
        <f t="shared" si="22"/>
        <v>0.92815999999999999</v>
      </c>
      <c r="M64" s="45">
        <f t="shared" si="22"/>
        <v>0.85700725851479609</v>
      </c>
      <c r="N64" s="45"/>
      <c r="O64" s="41"/>
      <c r="P64" s="41"/>
    </row>
    <row r="65" spans="5:15" x14ac:dyDescent="0.2">
      <c r="E65" t="e">
        <v>#N/A</v>
      </c>
      <c r="F65" t="e">
        <v>#N/A</v>
      </c>
      <c r="G65" s="52">
        <f t="shared" ref="G65:O65" si="23">AVERAGE(C64:E64)</f>
        <v>0.91535459263704144</v>
      </c>
      <c r="H65" s="52">
        <f t="shared" si="23"/>
        <v>0.9973046953567869</v>
      </c>
      <c r="I65" s="52">
        <f t="shared" si="23"/>
        <v>0.92662711832478184</v>
      </c>
      <c r="J65" s="52">
        <f t="shared" si="23"/>
        <v>0.95988151012337752</v>
      </c>
      <c r="K65" s="52">
        <f t="shared" si="23"/>
        <v>0.95412946005562682</v>
      </c>
      <c r="L65" s="52">
        <f t="shared" si="23"/>
        <v>0.98585744046823354</v>
      </c>
      <c r="M65" s="52">
        <f t="shared" si="23"/>
        <v>1.0665635322761104</v>
      </c>
      <c r="N65" s="52">
        <f t="shared" si="23"/>
        <v>1.0646786385737439</v>
      </c>
      <c r="O65" s="52">
        <f t="shared" si="23"/>
        <v>1.0209401972827099</v>
      </c>
    </row>
    <row r="66" spans="5:15" x14ac:dyDescent="0.2">
      <c r="E66" s="52">
        <f>AVERAGE(C64:E64)</f>
        <v>0.91535459263704144</v>
      </c>
      <c r="F66" s="52">
        <f t="shared" ref="F66:M66" si="24">AVERAGE(D64:F64)</f>
        <v>0.9973046953567869</v>
      </c>
      <c r="G66" s="52">
        <f t="shared" si="24"/>
        <v>0.92662711832478184</v>
      </c>
      <c r="H66" s="52">
        <f t="shared" si="24"/>
        <v>0.95988151012337752</v>
      </c>
      <c r="I66" s="52">
        <f t="shared" si="24"/>
        <v>0.95412946005562682</v>
      </c>
      <c r="J66" s="52">
        <f t="shared" si="24"/>
        <v>0.98585744046823354</v>
      </c>
      <c r="K66" s="52">
        <f t="shared" si="24"/>
        <v>1.0665635322761104</v>
      </c>
      <c r="L66" s="52">
        <f t="shared" si="24"/>
        <v>1.0646786385737439</v>
      </c>
      <c r="M66" s="52">
        <f t="shared" si="24"/>
        <v>1.0209401972827099</v>
      </c>
    </row>
  </sheetData>
  <mergeCells count="20">
    <mergeCell ref="A15:B15"/>
    <mergeCell ref="A1:B1"/>
    <mergeCell ref="A3:B3"/>
    <mergeCell ref="A6:B6"/>
    <mergeCell ref="A9:B9"/>
    <mergeCell ref="A12:B12"/>
    <mergeCell ref="A33:B33"/>
    <mergeCell ref="A36:B36"/>
    <mergeCell ref="A39:B39"/>
    <mergeCell ref="A42:B42"/>
    <mergeCell ref="A18:B18"/>
    <mergeCell ref="A21:B21"/>
    <mergeCell ref="A24:B24"/>
    <mergeCell ref="A27:B27"/>
    <mergeCell ref="A30:B30"/>
    <mergeCell ref="A45:B45"/>
    <mergeCell ref="A48:B48"/>
    <mergeCell ref="A51:B51"/>
    <mergeCell ref="A54:B54"/>
    <mergeCell ref="A57:B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Ellingsberg</dc:creator>
  <cp:lastModifiedBy>Microsoft Office User</cp:lastModifiedBy>
  <dcterms:created xsi:type="dcterms:W3CDTF">2021-12-10T14:12:17Z</dcterms:created>
  <dcterms:modified xsi:type="dcterms:W3CDTF">2022-07-01T06:17:12Z</dcterms:modified>
</cp:coreProperties>
</file>